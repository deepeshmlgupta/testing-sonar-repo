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DP Comparison" sheetId="2" state="visible" r:id="rId2"/>
    <sheet xmlns:r="http://schemas.openxmlformats.org/officeDocument/2006/relationships" name="By UDP" sheetId="3" state="visible" r:id="rId3"/>
    <sheet xmlns:r="http://schemas.openxmlformats.org/officeDocument/2006/relationships" name="Diagnostics" sheetId="4" state="visible" r:id="rId4"/>
  </sheets>
  <definedNames>
    <definedName name="_xlnm._FilterDatabase" localSheetId="1" hidden="1">'UDP Comparison'!$A$1:$H$1</definedName>
    <definedName name="_xlnm._FilterDatabase" localSheetId="2" hidden="1">'By UDP'!$A$1:$I$1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5" fillId="5" borderId="1" pivotButton="0" quotePrefix="0" xfId="0"/>
    <xf numFmtId="0" fontId="1" fillId="5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0" fontId="5" fillId="5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84" customWidth="1" min="3" max="3"/>
  </cols>
  <sheetData>
    <row r="1" ht="22" customHeight="1">
      <c r="A1" s="1" t="inlineStr">
        <is>
          <t>UDP Comparison - SAP PowerDesigner vs erwin - 05_Carbon_Calculator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2026-09-05 21:17:08</t>
        </is>
      </c>
      <c r="C4" s="6" t="inlineStr"/>
    </row>
    <row r="5">
      <c r="A5" s="4" t="inlineStr">
        <is>
          <t>Model</t>
        </is>
      </c>
      <c r="B5" s="5" t="inlineStr">
        <is>
          <t>05_Carbon_Calculator</t>
        </is>
      </c>
      <c r="C5" s="6" t="inlineStr"/>
    </row>
    <row r="6">
      <c r="A6" s="4" t="inlineStr">
        <is>
          <t>Model type</t>
        </is>
      </c>
      <c r="B6" s="5" t="inlineStr">
        <is>
          <t>PDM</t>
        </is>
      </c>
      <c r="C6" s="6" t="inlineStr"/>
    </row>
    <row r="7">
      <c r="A7" s="4" t="inlineStr">
        <is>
          <t>Source SAP model</t>
        </is>
      </c>
      <c r="B7" s="5" t="inlineStr">
        <is>
          <t>C:\Users\SrinivasaPesala\Desktop\migration-platform_4_sept_final_h_l_m\sappdmodels\pdm\05_Carbon_Calculator.pdm</t>
        </is>
      </c>
      <c r="C7" s="6" t="inlineStr"/>
    </row>
    <row r="8">
      <c r="A8" s="4" t="inlineStr">
        <is>
          <t>erwin model compared</t>
        </is>
      </c>
      <c r="B8" s="5" t="inlineStr">
        <is>
          <t>erwinmodels\2_preprocessed\erwin\05_Carbon_Calculator.erwin</t>
        </is>
      </c>
      <c r="C8" s="6" t="inlineStr"/>
    </row>
    <row r="9">
      <c r="A9" s="4" t="inlineStr">
        <is>
          <t>erwin readback method</t>
        </is>
      </c>
      <c r="B9" s="5" t="inlineStr">
        <is>
          <t>com</t>
        </is>
      </c>
      <c r="C9" s="6" t="inlineStr">
        <is>
          <t>See the Diagnostics sheet.</t>
        </is>
      </c>
    </row>
    <row r="11">
      <c r="A11" s="2" t="inlineStr">
        <is>
          <t>Comparison</t>
        </is>
      </c>
      <c r="B11" s="3" t="inlineStr"/>
      <c r="C11" s="3" t="inlineStr"/>
    </row>
    <row r="12">
      <c r="A12" s="4" t="inlineStr">
        <is>
          <t>UDP values compared</t>
        </is>
      </c>
      <c r="B12" s="5">
        <f>MAX(0,COUNTA('UDP Comparison'!$C:$C)-1)</f>
        <v/>
      </c>
      <c r="C12" s="6" t="inlineStr"/>
    </row>
    <row r="13">
      <c r="A13" s="4" t="inlineStr">
        <is>
          <t>PASS</t>
        </is>
      </c>
      <c r="B13" s="5">
        <f>COUNTIF('UDP Comparison'!$F$2:$F$1592,"PASS")</f>
        <v/>
      </c>
      <c r="C13" s="6" t="inlineStr">
        <is>
          <t>erwin holds exactly the value PowerDesigner held.</t>
        </is>
      </c>
    </row>
    <row r="14">
      <c r="A14" s="4" t="inlineStr">
        <is>
          <t>MISMATCH</t>
        </is>
      </c>
      <c r="B14" s="5">
        <f>COUNTIF('UDP Comparison'!$F$2:$F$1592,"MISMATCH")</f>
        <v/>
      </c>
      <c r="C14" s="6" t="inlineStr">
        <is>
          <t>erwin holds a different value.</t>
        </is>
      </c>
    </row>
    <row r="15">
      <c r="A15" s="4" t="inlineStr">
        <is>
          <t>MISSING</t>
        </is>
      </c>
      <c r="B15" s="5">
        <f>COUNTIF('UDP Comparison'!$F$2:$F$1592,"MISSING")</f>
        <v/>
      </c>
      <c r="C15" s="6" t="inlineStr">
        <is>
          <t>PowerDesigner had a value; erwin holds nothing.</t>
        </is>
      </c>
    </row>
    <row r="16">
      <c r="A16" s="4" t="inlineStr">
        <is>
          <t>BLANK IN SAP</t>
        </is>
      </c>
      <c r="B16" s="5">
        <f>COUNTIF('UDP Comparison'!$F$2:$F$1592,"BLANK IN SAP")</f>
        <v/>
      </c>
      <c r="C16" s="6" t="inlineStr">
        <is>
          <t>Nothing to migrate, so erwin holding nothing is correct. Excluded from the pass rate.</t>
        </is>
      </c>
    </row>
    <row r="17">
      <c r="A17" s="4" t="inlineStr">
        <is>
          <t>EXTRA IN ERWIN</t>
        </is>
      </c>
      <c r="B17" s="5">
        <f>COUNTIF('UDP Comparison'!$F$2:$F$1592,"EXTRA IN ERWIN")</f>
        <v/>
      </c>
      <c r="C17" s="6" t="inlineStr">
        <is>
          <t>erwin holds a value with no matching source row.</t>
        </is>
      </c>
    </row>
    <row r="19">
      <c r="A19" s="2" t="inlineStr">
        <is>
          <t>Result</t>
        </is>
      </c>
      <c r="B19" s="3" t="inlineStr"/>
      <c r="C19" s="3" t="inlineStr"/>
    </row>
    <row r="20">
      <c r="A20" s="4" t="inlineStr">
        <is>
          <t>Comparable values</t>
        </is>
      </c>
      <c r="B20" s="5">
        <f>B13+B14+B15</f>
        <v/>
      </c>
      <c r="C20" s="6" t="inlineStr">
        <is>
          <t>PASS + MISMATCH + MISSING. Blank source values are not a migration outcome, so they are not counted here.</t>
        </is>
      </c>
    </row>
    <row r="21">
      <c r="A21" s="4" t="inlineStr">
        <is>
          <t>Pass rate</t>
        </is>
      </c>
      <c r="B21" s="7">
        <f>IF(B20=0,0,B13/B20)</f>
        <v/>
      </c>
      <c r="C21" s="6" t="inlineStr"/>
    </row>
    <row r="22">
      <c r="A22" s="4" t="inlineStr">
        <is>
          <t>Verdict</t>
        </is>
      </c>
      <c r="B22" s="8">
        <f>IF(B20=0,"NO SOURCE VALUES TO MIGRATE",IF(B13=B20,"PASS",IF(B13=0,"FAIL - NO VALUES MATCHED","REVIEW REQUIRED")))</f>
        <v/>
      </c>
      <c r="C22" s="6" t="inlineStr">
        <is>
          <t>PASS only when every migratable value matches erwin exactly.</t>
        </is>
      </c>
    </row>
    <row r="24">
      <c r="A24" s="9" t="inlineStr">
        <is>
          <t>Counts are live formulas over the UDP Comparison sheet, bounded to the rows this run wrote.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2" customWidth="1" min="3" max="3"/>
    <col width="46" customWidth="1" min="4" max="4"/>
    <col width="46" customWidth="1" min="5" max="5"/>
    <col width="16" customWidth="1" min="6" max="6"/>
    <col width="30" customWidth="1" min="7" max="7"/>
    <col width="56" customWidth="1" min="8" max="8"/>
  </cols>
  <sheetData>
    <row r="1" ht="28" customHeight="1">
      <c r="A1" s="10" t="inlineStr">
        <is>
          <t>Entity Name</t>
        </is>
      </c>
      <c r="B1" s="10" t="inlineStr">
        <is>
          <t>Applied To</t>
        </is>
      </c>
      <c r="C1" s="10" t="inlineStr">
        <is>
          <t>UDP Name</t>
        </is>
      </c>
      <c r="D1" s="10" t="inlineStr">
        <is>
          <t>SAP Value</t>
        </is>
      </c>
      <c r="E1" s="10" t="inlineStr">
        <is>
          <t>erwin Value</t>
        </is>
      </c>
      <c r="F1" s="10" t="inlineStr">
        <is>
          <t>Status</t>
        </is>
      </c>
      <c r="G1" s="10" t="inlineStr">
        <is>
          <t>Source Path</t>
        </is>
      </c>
      <c r="H1" s="10" t="inlineStr">
        <is>
          <t>Note</t>
        </is>
      </c>
    </row>
    <row r="2">
      <c r="A2" t="inlineStr">
        <is>
          <t>ACTIVITY_CATEGORY</t>
        </is>
      </c>
      <c r="B2" t="inlineStr">
        <is>
          <t>Entity</t>
        </is>
      </c>
      <c r="C2" t="inlineStr">
        <is>
          <t>PII</t>
        </is>
      </c>
      <c r="D2" s="6" t="inlineStr">
        <is>
          <t>false</t>
        </is>
      </c>
      <c r="E2" s="6" t="n"/>
      <c r="F2" s="11" t="inlineStr">
        <is>
          <t>MISSING</t>
        </is>
      </c>
      <c r="G2" t="inlineStr">
        <is>
          <t>SHL_LDM_EntityPropertyExtension.PII</t>
        </is>
      </c>
      <c r="H2" s="6" t="inlineStr">
        <is>
          <t>erwin holds no value for this UDP on this object.</t>
        </is>
      </c>
    </row>
    <row r="3">
      <c r="A3" t="inlineStr">
        <is>
          <t>ACTIVITY_CATEGORY_DIMENSION</t>
        </is>
      </c>
      <c r="B3" t="inlineStr">
        <is>
          <t>Entity</t>
        </is>
      </c>
      <c r="C3" t="inlineStr">
        <is>
          <t>PII</t>
        </is>
      </c>
      <c r="D3" s="6" t="inlineStr">
        <is>
          <t>false</t>
        </is>
      </c>
      <c r="E3" s="6" t="n"/>
      <c r="F3" s="11" t="inlineStr">
        <is>
          <t>MISSING</t>
        </is>
      </c>
      <c r="G3" t="inlineStr">
        <is>
          <t>SHL_LDM_EntityPropertyExtension.PII</t>
        </is>
      </c>
      <c r="H3" s="6" t="inlineStr">
        <is>
          <t>erwin holds no value for this UDP on this object.</t>
        </is>
      </c>
    </row>
    <row r="4">
      <c r="A4" t="inlineStr">
        <is>
          <t>ACTIVITY_CATEGORY_PARAMETER</t>
        </is>
      </c>
      <c r="B4" t="inlineStr">
        <is>
          <t>Entity</t>
        </is>
      </c>
      <c r="C4" t="inlineStr">
        <is>
          <t>PII</t>
        </is>
      </c>
      <c r="D4" s="6" t="inlineStr">
        <is>
          <t>false</t>
        </is>
      </c>
      <c r="E4" s="6" t="n"/>
      <c r="F4" s="11" t="inlineStr">
        <is>
          <t>MISSING</t>
        </is>
      </c>
      <c r="G4" t="inlineStr">
        <is>
          <t>SHL_LDM_EntityPropertyExtension.PII</t>
        </is>
      </c>
      <c r="H4" s="6" t="inlineStr">
        <is>
          <t>erwin holds no value for this UDP on this object.</t>
        </is>
      </c>
    </row>
    <row r="5">
      <c r="A5" t="inlineStr">
        <is>
          <t>ACTIVITY_CATEGORY_TYPE</t>
        </is>
      </c>
      <c r="B5" t="inlineStr">
        <is>
          <t>Entity</t>
        </is>
      </c>
      <c r="C5" t="inlineStr">
        <is>
          <t>PII</t>
        </is>
      </c>
      <c r="D5" s="6" t="inlineStr">
        <is>
          <t>false</t>
        </is>
      </c>
      <c r="E5" s="6" t="n"/>
      <c r="F5" s="11" t="inlineStr">
        <is>
          <t>MISSING</t>
        </is>
      </c>
      <c r="G5" t="inlineStr">
        <is>
          <t>SHL_LDM_EntityPropertyExtension.PII</t>
        </is>
      </c>
      <c r="H5" s="6" t="inlineStr">
        <is>
          <t>erwin holds no value for this UDP on this object.</t>
        </is>
      </c>
    </row>
    <row r="6">
      <c r="A6" t="inlineStr">
        <is>
          <t>ACTIVITY_CATEGORY_TYPE_DIMENSION</t>
        </is>
      </c>
      <c r="B6" t="inlineStr">
        <is>
          <t>Entity</t>
        </is>
      </c>
      <c r="C6" t="inlineStr">
        <is>
          <t>PII</t>
        </is>
      </c>
      <c r="D6" s="6" t="inlineStr">
        <is>
          <t>false</t>
        </is>
      </c>
      <c r="E6" s="6" t="n"/>
      <c r="F6" s="11" t="inlineStr">
        <is>
          <t>MISSING</t>
        </is>
      </c>
      <c r="G6" t="inlineStr">
        <is>
          <t>SHL_LDM_EntityPropertyExtension.PII</t>
        </is>
      </c>
      <c r="H6" s="6" t="inlineStr">
        <is>
          <t>erwin holds no value for this UDP on this object.</t>
        </is>
      </c>
    </row>
    <row r="7">
      <c r="A7" t="inlineStr">
        <is>
          <t>ACTIVITY_TYPE_PARAMETER</t>
        </is>
      </c>
      <c r="B7" t="inlineStr">
        <is>
          <t>Entity</t>
        </is>
      </c>
      <c r="C7" t="inlineStr">
        <is>
          <t>PII</t>
        </is>
      </c>
      <c r="D7" s="6" t="inlineStr">
        <is>
          <t>false</t>
        </is>
      </c>
      <c r="E7" s="6" t="n"/>
      <c r="F7" s="11" t="inlineStr">
        <is>
          <t>MISSING</t>
        </is>
      </c>
      <c r="G7" t="inlineStr">
        <is>
          <t>SHL_LDM_EntityPropertyExtension.PII</t>
        </is>
      </c>
      <c r="H7" s="6" t="inlineStr">
        <is>
          <t>erwin holds no value for this UDP on this object.</t>
        </is>
      </c>
    </row>
    <row r="8">
      <c r="A8" t="inlineStr">
        <is>
          <t>ACTIVITY_TYPE_PARAMETER_FACTOR</t>
        </is>
      </c>
      <c r="B8" t="inlineStr">
        <is>
          <t>Entity</t>
        </is>
      </c>
      <c r="C8" t="inlineStr">
        <is>
          <t>PII</t>
        </is>
      </c>
      <c r="D8" s="6" t="inlineStr">
        <is>
          <t>false</t>
        </is>
      </c>
      <c r="E8" s="6" t="n"/>
      <c r="F8" s="11" t="inlineStr">
        <is>
          <t>MISSING</t>
        </is>
      </c>
      <c r="G8" t="inlineStr">
        <is>
          <t>SHL_LDM_EntityPropertyExtension.PII</t>
        </is>
      </c>
      <c r="H8" s="6" t="inlineStr">
        <is>
          <t>erwin holds no value for this UDP on this object.</t>
        </is>
      </c>
    </row>
    <row r="9">
      <c r="A9" t="inlineStr">
        <is>
          <t>APPLICATION_EQUIPMENT</t>
        </is>
      </c>
      <c r="B9" t="inlineStr">
        <is>
          <t>Entity</t>
        </is>
      </c>
      <c r="C9" t="inlineStr">
        <is>
          <t>PII</t>
        </is>
      </c>
      <c r="D9" s="6" t="inlineStr">
        <is>
          <t>false</t>
        </is>
      </c>
      <c r="E9" s="6" t="n"/>
      <c r="F9" s="11" t="inlineStr">
        <is>
          <t>MISSING</t>
        </is>
      </c>
      <c r="G9" t="inlineStr">
        <is>
          <t>SHL_LDM_EntityPropertyExtension.PII</t>
        </is>
      </c>
      <c r="H9" s="6" t="inlineStr">
        <is>
          <t>erwin holds no value for this UDP on this object.</t>
        </is>
      </c>
    </row>
    <row r="10">
      <c r="A10" t="inlineStr">
        <is>
          <t>APPLICATION_METHOD</t>
        </is>
      </c>
      <c r="B10" t="inlineStr">
        <is>
          <t>Entity</t>
        </is>
      </c>
      <c r="C10" t="inlineStr">
        <is>
          <t>PII</t>
        </is>
      </c>
      <c r="D10" s="6" t="inlineStr">
        <is>
          <t>false</t>
        </is>
      </c>
      <c r="E10" s="6" t="n"/>
      <c r="F10" s="11" t="inlineStr">
        <is>
          <t>MISSING</t>
        </is>
      </c>
      <c r="G10" t="inlineStr">
        <is>
          <t>SHL_LDM_EntityPropertyExtension.PII</t>
        </is>
      </c>
      <c r="H10" s="6" t="inlineStr">
        <is>
          <t>erwin holds no value for this UDP on this object.</t>
        </is>
      </c>
    </row>
    <row r="11">
      <c r="A11" t="inlineStr">
        <is>
          <t>CLIENT</t>
        </is>
      </c>
      <c r="B11" t="inlineStr">
        <is>
          <t>Entity</t>
        </is>
      </c>
      <c r="C11" t="inlineStr">
        <is>
          <t>PII</t>
        </is>
      </c>
      <c r="D11" s="6" t="inlineStr">
        <is>
          <t>false</t>
        </is>
      </c>
      <c r="E11" s="6" t="n"/>
      <c r="F11" s="11" t="inlineStr">
        <is>
          <t>MISSING</t>
        </is>
      </c>
      <c r="G11" t="inlineStr">
        <is>
          <t>SHL_LDM_EntityPropertyExtension.PII</t>
        </is>
      </c>
      <c r="H11" s="6" t="inlineStr">
        <is>
          <t>erwin holds no value for this UDP on this object.</t>
        </is>
      </c>
    </row>
    <row r="12">
      <c r="A12" t="inlineStr">
        <is>
          <t>CLIENT_UOM</t>
        </is>
      </c>
      <c r="B12" t="inlineStr">
        <is>
          <t>Entity</t>
        </is>
      </c>
      <c r="C12" t="inlineStr">
        <is>
          <t>PII</t>
        </is>
      </c>
      <c r="D12" s="6" t="inlineStr">
        <is>
          <t>false</t>
        </is>
      </c>
      <c r="E12" s="6" t="n"/>
      <c r="F12" s="11" t="inlineStr">
        <is>
          <t>MISSING</t>
        </is>
      </c>
      <c r="G12" t="inlineStr">
        <is>
          <t>SHL_LDM_EntityPropertyExtension.PII</t>
        </is>
      </c>
      <c r="H12" s="6" t="inlineStr">
        <is>
          <t>erwin holds no value for this UDP on this object.</t>
        </is>
      </c>
    </row>
    <row r="13">
      <c r="A13" t="inlineStr">
        <is>
          <t>DIMENSION</t>
        </is>
      </c>
      <c r="B13" t="inlineStr">
        <is>
          <t>Entity</t>
        </is>
      </c>
      <c r="C13" t="inlineStr">
        <is>
          <t>PII</t>
        </is>
      </c>
      <c r="D13" s="6" t="inlineStr">
        <is>
          <t>false</t>
        </is>
      </c>
      <c r="E13" s="6" t="n"/>
      <c r="F13" s="11" t="inlineStr">
        <is>
          <t>MISSING</t>
        </is>
      </c>
      <c r="G13" t="inlineStr">
        <is>
          <t>SHL_LDM_EntityPropertyExtension.PII</t>
        </is>
      </c>
      <c r="H13" s="6" t="inlineStr">
        <is>
          <t>erwin holds no value for this UDP on this object.</t>
        </is>
      </c>
    </row>
    <row r="14">
      <c r="A14" t="inlineStr">
        <is>
          <t>DIMENSION_VALUE</t>
        </is>
      </c>
      <c r="B14" t="inlineStr">
        <is>
          <t>Entity</t>
        </is>
      </c>
      <c r="C14" t="inlineStr">
        <is>
          <t>PII</t>
        </is>
      </c>
      <c r="D14" s="6" t="inlineStr">
        <is>
          <t>false</t>
        </is>
      </c>
      <c r="E14" s="6" t="n"/>
      <c r="F14" s="11" t="inlineStr">
        <is>
          <t>MISSING</t>
        </is>
      </c>
      <c r="G14" t="inlineStr">
        <is>
          <t>SHL_LDM_EntityPropertyExtension.PII</t>
        </is>
      </c>
      <c r="H14" s="6" t="inlineStr">
        <is>
          <t>erwin holds no value for this UDP on this object.</t>
        </is>
      </c>
    </row>
    <row r="15">
      <c r="A15" t="inlineStr">
        <is>
          <t>EQUIPMENT_ENGINE_TYPE</t>
        </is>
      </c>
      <c r="B15" t="inlineStr">
        <is>
          <t>Entity</t>
        </is>
      </c>
      <c r="C15" t="inlineStr">
        <is>
          <t>PII</t>
        </is>
      </c>
      <c r="D15" s="6" t="inlineStr">
        <is>
          <t>false</t>
        </is>
      </c>
      <c r="E15" s="6" t="n"/>
      <c r="F15" s="11" t="inlineStr">
        <is>
          <t>MISSING</t>
        </is>
      </c>
      <c r="G15" t="inlineStr">
        <is>
          <t>SHL_LDM_EntityPropertyExtension.PII</t>
        </is>
      </c>
      <c r="H15" s="6" t="inlineStr">
        <is>
          <t>erwin holds no value for this UDP on this object.</t>
        </is>
      </c>
    </row>
    <row r="16">
      <c r="A16" t="inlineStr">
        <is>
          <t>EQUIPMENT_TYPE</t>
        </is>
      </c>
      <c r="B16" t="inlineStr">
        <is>
          <t>Entity</t>
        </is>
      </c>
      <c r="C16" t="inlineStr">
        <is>
          <t>PII</t>
        </is>
      </c>
      <c r="D16" s="6" t="inlineStr">
        <is>
          <t>false</t>
        </is>
      </c>
      <c r="E16" s="6" t="n"/>
      <c r="F16" s="11" t="inlineStr">
        <is>
          <t>MISSING</t>
        </is>
      </c>
      <c r="G16" t="inlineStr">
        <is>
          <t>SHL_LDM_EntityPropertyExtension.PII</t>
        </is>
      </c>
      <c r="H16" s="6" t="inlineStr">
        <is>
          <t>erwin holds no value for this UDP on this object.</t>
        </is>
      </c>
    </row>
    <row r="17">
      <c r="A17" t="inlineStr">
        <is>
          <t>FACTOR_PUBLISHER</t>
        </is>
      </c>
      <c r="B17" t="inlineStr">
        <is>
          <t>Entity</t>
        </is>
      </c>
      <c r="C17" t="inlineStr">
        <is>
          <t>PII</t>
        </is>
      </c>
      <c r="D17" s="6" t="inlineStr">
        <is>
          <t>false</t>
        </is>
      </c>
      <c r="E17" s="6" t="n"/>
      <c r="F17" s="11" t="inlineStr">
        <is>
          <t>MISSING</t>
        </is>
      </c>
      <c r="G17" t="inlineStr">
        <is>
          <t>SHL_LDM_EntityPropertyExtension.PII</t>
        </is>
      </c>
      <c r="H17" s="6" t="inlineStr">
        <is>
          <t>erwin holds no value for this UDP on this object.</t>
        </is>
      </c>
    </row>
    <row r="18">
      <c r="A18" t="inlineStr">
        <is>
          <t>FACTOR_SOURCE</t>
        </is>
      </c>
      <c r="B18" t="inlineStr">
        <is>
          <t>Entity</t>
        </is>
      </c>
      <c r="C18" t="inlineStr">
        <is>
          <t>PII</t>
        </is>
      </c>
      <c r="D18" s="6" t="inlineStr">
        <is>
          <t>false</t>
        </is>
      </c>
      <c r="E18" s="6" t="n"/>
      <c r="F18" s="11" t="inlineStr">
        <is>
          <t>MISSING</t>
        </is>
      </c>
      <c r="G18" t="inlineStr">
        <is>
          <t>SHL_LDM_EntityPropertyExtension.PII</t>
        </is>
      </c>
      <c r="H18" s="6" t="inlineStr">
        <is>
          <t>erwin holds no value for this UDP on this object.</t>
        </is>
      </c>
    </row>
    <row r="19">
      <c r="A19" t="inlineStr">
        <is>
          <t>FACTOR_SOURCE_COMPOSITION</t>
        </is>
      </c>
      <c r="B19" t="inlineStr">
        <is>
          <t>Entity</t>
        </is>
      </c>
      <c r="C19" t="inlineStr">
        <is>
          <t>PII</t>
        </is>
      </c>
      <c r="D19" s="6" t="inlineStr">
        <is>
          <t>false</t>
        </is>
      </c>
      <c r="E19" s="6" t="n"/>
      <c r="F19" s="11" t="inlineStr">
        <is>
          <t>MISSING</t>
        </is>
      </c>
      <c r="G19" t="inlineStr">
        <is>
          <t>SHL_LDM_EntityPropertyExtension.PII</t>
        </is>
      </c>
      <c r="H19" s="6" t="inlineStr">
        <is>
          <t>erwin holds no value for this UDP on this object.</t>
        </is>
      </c>
    </row>
    <row r="20">
      <c r="A20" t="inlineStr">
        <is>
          <t>FUEL_APPLICATION</t>
        </is>
      </c>
      <c r="B20" t="inlineStr">
        <is>
          <t>Entity</t>
        </is>
      </c>
      <c r="C20" t="inlineStr">
        <is>
          <t>PII</t>
        </is>
      </c>
      <c r="D20" s="6" t="inlineStr">
        <is>
          <t>false</t>
        </is>
      </c>
      <c r="E20" s="6" t="n"/>
      <c r="F20" s="11" t="inlineStr">
        <is>
          <t>MISSING</t>
        </is>
      </c>
      <c r="G20" t="inlineStr">
        <is>
          <t>SHL_LDM_EntityPropertyExtension.PII</t>
        </is>
      </c>
      <c r="H20" s="6" t="inlineStr">
        <is>
          <t>erwin holds no value for this UDP on this object.</t>
        </is>
      </c>
    </row>
    <row r="21">
      <c r="A21" t="inlineStr">
        <is>
          <t>FUEL_FORM</t>
        </is>
      </c>
      <c r="B21" t="inlineStr">
        <is>
          <t>Entity</t>
        </is>
      </c>
      <c r="C21" t="inlineStr">
        <is>
          <t>PII</t>
        </is>
      </c>
      <c r="D21" s="6" t="inlineStr">
        <is>
          <t>false</t>
        </is>
      </c>
      <c r="E21" s="6" t="n"/>
      <c r="F21" s="11" t="inlineStr">
        <is>
          <t>MISSING</t>
        </is>
      </c>
      <c r="G21" t="inlineStr">
        <is>
          <t>SHL_LDM_EntityPropertyExtension.PII</t>
        </is>
      </c>
      <c r="H21" s="6" t="inlineStr">
        <is>
          <t>erwin holds no value for this UDP on this object.</t>
        </is>
      </c>
    </row>
    <row r="22">
      <c r="A22" t="inlineStr">
        <is>
          <t>FUEL_FORM_QUANTITY_UNIT</t>
        </is>
      </c>
      <c r="B22" t="inlineStr">
        <is>
          <t>Entity</t>
        </is>
      </c>
      <c r="C22" t="inlineStr">
        <is>
          <t>PII</t>
        </is>
      </c>
      <c r="D22" s="6" t="inlineStr">
        <is>
          <t>false</t>
        </is>
      </c>
      <c r="E22" s="6" t="n"/>
      <c r="F22" s="11" t="inlineStr">
        <is>
          <t>MISSING</t>
        </is>
      </c>
      <c r="G22" t="inlineStr">
        <is>
          <t>SHL_LDM_EntityPropertyExtension.PII</t>
        </is>
      </c>
      <c r="H22" s="6" t="inlineStr">
        <is>
          <t>erwin holds no value for this UDP on this object.</t>
        </is>
      </c>
    </row>
    <row r="23">
      <c r="A23" t="inlineStr">
        <is>
          <t>FUEL_MARKET_PRODUCT</t>
        </is>
      </c>
      <c r="B23" t="inlineStr">
        <is>
          <t>Entity</t>
        </is>
      </c>
      <c r="C23" t="inlineStr">
        <is>
          <t>PII</t>
        </is>
      </c>
      <c r="D23" s="6" t="inlineStr">
        <is>
          <t>false</t>
        </is>
      </c>
      <c r="E23" s="6" t="n"/>
      <c r="F23" s="11" t="inlineStr">
        <is>
          <t>MISSING</t>
        </is>
      </c>
      <c r="G23" t="inlineStr">
        <is>
          <t>SHL_LDM_EntityPropertyExtension.PII</t>
        </is>
      </c>
      <c r="H23" s="6" t="inlineStr">
        <is>
          <t>erwin holds no value for this UDP on this object.</t>
        </is>
      </c>
    </row>
    <row r="24">
      <c r="A24" t="inlineStr">
        <is>
          <t>FUEL_PRODUCT</t>
        </is>
      </c>
      <c r="B24" t="inlineStr">
        <is>
          <t>Entity</t>
        </is>
      </c>
      <c r="C24" t="inlineStr">
        <is>
          <t>PII</t>
        </is>
      </c>
      <c r="D24" s="6" t="inlineStr">
        <is>
          <t>false</t>
        </is>
      </c>
      <c r="E24" s="6" t="n"/>
      <c r="F24" s="11" t="inlineStr">
        <is>
          <t>MISSING</t>
        </is>
      </c>
      <c r="G24" t="inlineStr">
        <is>
          <t>SHL_LDM_EntityPropertyExtension.PII</t>
        </is>
      </c>
      <c r="H24" s="6" t="inlineStr">
        <is>
          <t>erwin holds no value for this UDP on this object.</t>
        </is>
      </c>
    </row>
    <row r="25">
      <c r="A25" t="inlineStr">
        <is>
          <t>FUEL_PRODUCT_REGION</t>
        </is>
      </c>
      <c r="B25" t="inlineStr">
        <is>
          <t>Entity</t>
        </is>
      </c>
      <c r="C25" t="inlineStr">
        <is>
          <t>PII</t>
        </is>
      </c>
      <c r="D25" s="6" t="inlineStr">
        <is>
          <t>false</t>
        </is>
      </c>
      <c r="E25" s="6" t="n"/>
      <c r="F25" s="11" t="inlineStr">
        <is>
          <t>MISSING</t>
        </is>
      </c>
      <c r="G25" t="inlineStr">
        <is>
          <t>SHL_LDM_EntityPropertyExtension.PII</t>
        </is>
      </c>
      <c r="H25" s="6" t="inlineStr">
        <is>
          <t>erwin holds no value for this UDP on this object.</t>
        </is>
      </c>
    </row>
    <row r="26">
      <c r="A26" t="inlineStr">
        <is>
          <t>FUEL_PRODUCT_REGION_CLIENT</t>
        </is>
      </c>
      <c r="B26" t="inlineStr">
        <is>
          <t>Entity</t>
        </is>
      </c>
      <c r="C26" t="inlineStr">
        <is>
          <t>PII</t>
        </is>
      </c>
      <c r="D26" s="6" t="inlineStr">
        <is>
          <t>false</t>
        </is>
      </c>
      <c r="E26" s="6" t="n"/>
      <c r="F26" s="11" t="inlineStr">
        <is>
          <t>MISSING</t>
        </is>
      </c>
      <c r="G26" t="inlineStr">
        <is>
          <t>SHL_LDM_EntityPropertyExtension.PII</t>
        </is>
      </c>
      <c r="H26" s="6" t="inlineStr">
        <is>
          <t>erwin holds no value for this UDP on this object.</t>
        </is>
      </c>
    </row>
    <row r="27">
      <c r="A27" t="inlineStr">
        <is>
          <t>FUEL_PRODUCT_REGION_COMMENT</t>
        </is>
      </c>
      <c r="B27" t="inlineStr">
        <is>
          <t>Entity</t>
        </is>
      </c>
      <c r="C27" t="inlineStr">
        <is>
          <t>PII</t>
        </is>
      </c>
      <c r="D27" s="6" t="inlineStr">
        <is>
          <t>false</t>
        </is>
      </c>
      <c r="E27" s="6" t="n"/>
      <c r="F27" s="11" t="inlineStr">
        <is>
          <t>MISSING</t>
        </is>
      </c>
      <c r="G27" t="inlineStr">
        <is>
          <t>SHL_LDM_EntityPropertyExtension.PII</t>
        </is>
      </c>
      <c r="H27" s="6" t="inlineStr">
        <is>
          <t>erwin holds no value for this UDP on this object.</t>
        </is>
      </c>
    </row>
    <row r="28">
      <c r="A28" t="inlineStr">
        <is>
          <t>GHG</t>
        </is>
      </c>
      <c r="B28" t="inlineStr">
        <is>
          <t>Entity</t>
        </is>
      </c>
      <c r="C28" t="inlineStr">
        <is>
          <t>PII</t>
        </is>
      </c>
      <c r="D28" s="6" t="inlineStr">
        <is>
          <t>false</t>
        </is>
      </c>
      <c r="E28" s="6" t="n"/>
      <c r="F28" s="11" t="inlineStr">
        <is>
          <t>MISSING</t>
        </is>
      </c>
      <c r="G28" t="inlineStr">
        <is>
          <t>SHL_LDM_EntityPropertyExtension.PII</t>
        </is>
      </c>
      <c r="H28" s="6" t="inlineStr">
        <is>
          <t>erwin holds no value for this UDP on this object.</t>
        </is>
      </c>
    </row>
    <row r="29">
      <c r="A29" t="inlineStr">
        <is>
          <t>LIFECYCLE_PHASE</t>
        </is>
      </c>
      <c r="B29" t="inlineStr">
        <is>
          <t>Entity</t>
        </is>
      </c>
      <c r="C29" t="inlineStr">
        <is>
          <t>PII</t>
        </is>
      </c>
      <c r="D29" s="6" t="inlineStr">
        <is>
          <t>false</t>
        </is>
      </c>
      <c r="E29" s="6" t="n"/>
      <c r="F29" s="11" t="inlineStr">
        <is>
          <t>MISSING</t>
        </is>
      </c>
      <c r="G29" t="inlineStr">
        <is>
          <t>SHL_LDM_EntityPropertyExtension.PII</t>
        </is>
      </c>
      <c r="H29" s="6" t="inlineStr">
        <is>
          <t>erwin holds no value for this UDP on this object.</t>
        </is>
      </c>
    </row>
    <row r="30">
      <c r="A30" t="inlineStr">
        <is>
          <t>LNG_ENGINE_TYPE</t>
        </is>
      </c>
      <c r="B30" t="inlineStr">
        <is>
          <t>Entity</t>
        </is>
      </c>
      <c r="C30" t="inlineStr">
        <is>
          <t>PII</t>
        </is>
      </c>
      <c r="D30" s="6" t="inlineStr">
        <is>
          <t>false</t>
        </is>
      </c>
      <c r="E30" s="6" t="n"/>
      <c r="F30" s="11" t="inlineStr">
        <is>
          <t>MISSING</t>
        </is>
      </c>
      <c r="G30" t="inlineStr">
        <is>
          <t>SHL_LDM_EntityPropertyExtension.PII</t>
        </is>
      </c>
      <c r="H30" s="6" t="inlineStr">
        <is>
          <t>erwin holds no value for this UDP on this object.</t>
        </is>
      </c>
    </row>
    <row r="31">
      <c r="A31" t="inlineStr">
        <is>
          <t>NCI_CLIENT_PARAMETER</t>
        </is>
      </c>
      <c r="B31" t="inlineStr">
        <is>
          <t>Entity</t>
        </is>
      </c>
      <c r="C31" t="inlineStr">
        <is>
          <t>PII</t>
        </is>
      </c>
      <c r="D31" s="6" t="inlineStr">
        <is>
          <t>false</t>
        </is>
      </c>
      <c r="E31" s="6" t="n"/>
      <c r="F31" s="11" t="inlineStr">
        <is>
          <t>MISSING</t>
        </is>
      </c>
      <c r="G31" t="inlineStr">
        <is>
          <t>SHL_LDM_EntityPropertyExtension.PII</t>
        </is>
      </c>
      <c r="H31" s="6" t="inlineStr">
        <is>
          <t>erwin holds no value for this UDP on this object.</t>
        </is>
      </c>
    </row>
    <row r="32">
      <c r="A32" t="inlineStr">
        <is>
          <t>NCI_CLIENT_PARAMETER_VALUE_SET</t>
        </is>
      </c>
      <c r="B32" t="inlineStr">
        <is>
          <t>Entity</t>
        </is>
      </c>
      <c r="C32" t="inlineStr">
        <is>
          <t>PII</t>
        </is>
      </c>
      <c r="D32" s="6" t="inlineStr">
        <is>
          <t>false</t>
        </is>
      </c>
      <c r="E32" s="6" t="n"/>
      <c r="F32" s="11" t="inlineStr">
        <is>
          <t>MISSING</t>
        </is>
      </c>
      <c r="G32" t="inlineStr">
        <is>
          <t>SHL_LDM_EntityPropertyExtension.PII</t>
        </is>
      </c>
      <c r="H32" s="6" t="inlineStr">
        <is>
          <t>erwin holds no value for this UDP on this object.</t>
        </is>
      </c>
    </row>
    <row r="33">
      <c r="A33" t="inlineStr">
        <is>
          <t>NCI_CLIENT_PRODUCT_FACTOR</t>
        </is>
      </c>
      <c r="B33" t="inlineStr">
        <is>
          <t>Entity</t>
        </is>
      </c>
      <c r="C33" t="inlineStr">
        <is>
          <t>PII</t>
        </is>
      </c>
      <c r="D33" s="6" t="inlineStr">
        <is>
          <t>false</t>
        </is>
      </c>
      <c r="E33" s="6" t="n"/>
      <c r="F33" s="11" t="inlineStr">
        <is>
          <t>MISSING</t>
        </is>
      </c>
      <c r="G33" t="inlineStr">
        <is>
          <t>SHL_LDM_EntityPropertyExtension.PII</t>
        </is>
      </c>
      <c r="H33" s="6" t="inlineStr">
        <is>
          <t>erwin holds no value for this UDP on this object.</t>
        </is>
      </c>
    </row>
    <row r="34">
      <c r="A34" t="inlineStr">
        <is>
          <t>NCI_CLIENT_PRODUCT_TYPE</t>
        </is>
      </c>
      <c r="B34" t="inlineStr">
        <is>
          <t>Entity</t>
        </is>
      </c>
      <c r="C34" t="inlineStr">
        <is>
          <t>PII</t>
        </is>
      </c>
      <c r="D34" s="6" t="inlineStr">
        <is>
          <t>false</t>
        </is>
      </c>
      <c r="E34" s="6" t="n"/>
      <c r="F34" s="11" t="inlineStr">
        <is>
          <t>MISSING</t>
        </is>
      </c>
      <c r="G34" t="inlineStr">
        <is>
          <t>SHL_LDM_EntityPropertyExtension.PII</t>
        </is>
      </c>
      <c r="H34" s="6" t="inlineStr">
        <is>
          <t>erwin holds no value for this UDP on this object.</t>
        </is>
      </c>
    </row>
    <row r="35">
      <c r="A35" t="inlineStr">
        <is>
          <t>PARAMETER_TYPE</t>
        </is>
      </c>
      <c r="B35" t="inlineStr">
        <is>
          <t>Entity</t>
        </is>
      </c>
      <c r="C35" t="inlineStr">
        <is>
          <t>PII</t>
        </is>
      </c>
      <c r="D35" s="6" t="inlineStr">
        <is>
          <t>false</t>
        </is>
      </c>
      <c r="E35" s="6" t="n"/>
      <c r="F35" s="11" t="inlineStr">
        <is>
          <t>MISSING</t>
        </is>
      </c>
      <c r="G35" t="inlineStr">
        <is>
          <t>SHL_LDM_EntityPropertyExtension.PII</t>
        </is>
      </c>
      <c r="H35" s="6" t="inlineStr">
        <is>
          <t>erwin holds no value for this UDP on this object.</t>
        </is>
      </c>
    </row>
    <row r="36">
      <c r="A36" t="inlineStr">
        <is>
          <t>PARAMETER_VALUE_SET</t>
        </is>
      </c>
      <c r="B36" t="inlineStr">
        <is>
          <t>Entity</t>
        </is>
      </c>
      <c r="C36" t="inlineStr">
        <is>
          <t>PII</t>
        </is>
      </c>
      <c r="D36" s="6" t="inlineStr">
        <is>
          <t>false</t>
        </is>
      </c>
      <c r="E36" s="6" t="n"/>
      <c r="F36" s="11" t="inlineStr">
        <is>
          <t>MISSING</t>
        </is>
      </c>
      <c r="G36" t="inlineStr">
        <is>
          <t>SHL_LDM_EntityPropertyExtension.PII</t>
        </is>
      </c>
      <c r="H36" s="6" t="inlineStr">
        <is>
          <t>erwin holds no value for this UDP on this object.</t>
        </is>
      </c>
    </row>
    <row r="37">
      <c r="A37" t="inlineStr">
        <is>
          <t>PCF_CLIENT_DIMENSION_VALUE</t>
        </is>
      </c>
      <c r="B37" t="inlineStr">
        <is>
          <t>Entity</t>
        </is>
      </c>
      <c r="C37" t="inlineStr">
        <is>
          <t>PII</t>
        </is>
      </c>
      <c r="D37" s="6" t="inlineStr">
        <is>
          <t>false</t>
        </is>
      </c>
      <c r="E37" s="6" t="n"/>
      <c r="F37" s="11" t="inlineStr">
        <is>
          <t>MISSING</t>
        </is>
      </c>
      <c r="G37" t="inlineStr">
        <is>
          <t>SHL_LDM_EntityPropertyExtension.PII</t>
        </is>
      </c>
      <c r="H37" s="6" t="inlineStr">
        <is>
          <t>erwin holds no value for this UDP on this object.</t>
        </is>
      </c>
    </row>
    <row r="38">
      <c r="A38" t="inlineStr">
        <is>
          <t>PCF_CLIENT_PRODUCT</t>
        </is>
      </c>
      <c r="B38" t="inlineStr">
        <is>
          <t>Entity</t>
        </is>
      </c>
      <c r="C38" t="inlineStr">
        <is>
          <t>PII</t>
        </is>
      </c>
      <c r="D38" s="6" t="inlineStr">
        <is>
          <t>false</t>
        </is>
      </c>
      <c r="E38" s="6" t="n"/>
      <c r="F38" s="11" t="inlineStr">
        <is>
          <t>MISSING</t>
        </is>
      </c>
      <c r="G38" t="inlineStr">
        <is>
          <t>SHL_LDM_EntityPropertyExtension.PII</t>
        </is>
      </c>
      <c r="H38" s="6" t="inlineStr">
        <is>
          <t>erwin holds no value for this UDP on this object.</t>
        </is>
      </c>
    </row>
    <row r="39">
      <c r="A39" t="inlineStr">
        <is>
          <t>PRODUCT_EMISSION_COMPONENT</t>
        </is>
      </c>
      <c r="B39" t="inlineStr">
        <is>
          <t>Entity</t>
        </is>
      </c>
      <c r="C39" t="inlineStr">
        <is>
          <t>PII</t>
        </is>
      </c>
      <c r="D39" s="6" t="inlineStr">
        <is>
          <t>false</t>
        </is>
      </c>
      <c r="E39" s="6" t="n"/>
      <c r="F39" s="11" t="inlineStr">
        <is>
          <t>MISSING</t>
        </is>
      </c>
      <c r="G39" t="inlineStr">
        <is>
          <t>SHL_LDM_EntityPropertyExtension.PII</t>
        </is>
      </c>
      <c r="H39" s="6" t="inlineStr">
        <is>
          <t>erwin holds no value for this UDP on this object.</t>
        </is>
      </c>
    </row>
    <row r="40">
      <c r="A40" t="inlineStr">
        <is>
          <t>PRODUCT_EMISSION_COMPONENT_HISTORY</t>
        </is>
      </c>
      <c r="B40" t="inlineStr">
        <is>
          <t>Entity</t>
        </is>
      </c>
      <c r="C40" t="inlineStr">
        <is>
          <t>PII</t>
        </is>
      </c>
      <c r="D40" s="6" t="inlineStr">
        <is>
          <t>false</t>
        </is>
      </c>
      <c r="E40" s="6" t="n"/>
      <c r="F40" s="11" t="inlineStr">
        <is>
          <t>MISSING</t>
        </is>
      </c>
      <c r="G40" t="inlineStr">
        <is>
          <t>SHL_LDM_EntityPropertyExtension.PII</t>
        </is>
      </c>
      <c r="H40" s="6" t="inlineStr">
        <is>
          <t>erwin holds no value for this UDP on this object.</t>
        </is>
      </c>
    </row>
    <row r="41">
      <c r="A41" t="inlineStr">
        <is>
          <t>PRODUCT_PROPERTY_VALUE</t>
        </is>
      </c>
      <c r="B41" t="inlineStr">
        <is>
          <t>Entity</t>
        </is>
      </c>
      <c r="C41" t="inlineStr">
        <is>
          <t>PII</t>
        </is>
      </c>
      <c r="D41" s="6" t="inlineStr">
        <is>
          <t>false</t>
        </is>
      </c>
      <c r="E41" s="6" t="n"/>
      <c r="F41" s="11" t="inlineStr">
        <is>
          <t>MISSING</t>
        </is>
      </c>
      <c r="G41" t="inlineStr">
        <is>
          <t>SHL_LDM_EntityPropertyExtension.PII</t>
        </is>
      </c>
      <c r="H41" s="6" t="inlineStr">
        <is>
          <t>erwin holds no value for this UDP on this object.</t>
        </is>
      </c>
    </row>
    <row r="42">
      <c r="A42" t="inlineStr">
        <is>
          <t>PROPERTY_TYPE</t>
        </is>
      </c>
      <c r="B42" t="inlineStr">
        <is>
          <t>Entity</t>
        </is>
      </c>
      <c r="C42" t="inlineStr">
        <is>
          <t>PII</t>
        </is>
      </c>
      <c r="D42" s="6" t="inlineStr">
        <is>
          <t>false</t>
        </is>
      </c>
      <c r="E42" s="6" t="n"/>
      <c r="F42" s="11" t="inlineStr">
        <is>
          <t>MISSING</t>
        </is>
      </c>
      <c r="G42" t="inlineStr">
        <is>
          <t>SHL_LDM_EntityPropertyExtension.PII</t>
        </is>
      </c>
      <c r="H42" s="6" t="inlineStr">
        <is>
          <t>erwin holds no value for this UDP on this object.</t>
        </is>
      </c>
    </row>
    <row r="43">
      <c r="A43" t="inlineStr">
        <is>
          <t>REQ_NCI_CLIENT_PARAMETER</t>
        </is>
      </c>
      <c r="B43" t="inlineStr">
        <is>
          <t>Entity</t>
        </is>
      </c>
      <c r="C43" t="inlineStr">
        <is>
          <t>PII</t>
        </is>
      </c>
      <c r="D43" s="6" t="inlineStr">
        <is>
          <t>false</t>
        </is>
      </c>
      <c r="E43" s="6" t="n"/>
      <c r="F43" s="11" t="inlineStr">
        <is>
          <t>MISSING</t>
        </is>
      </c>
      <c r="G43" t="inlineStr">
        <is>
          <t>SHL_LDM_EntityPropertyExtension.PII</t>
        </is>
      </c>
      <c r="H43" s="6" t="inlineStr">
        <is>
          <t>erwin holds no value for this UDP on this object.</t>
        </is>
      </c>
    </row>
    <row r="44">
      <c r="A44" t="inlineStr">
        <is>
          <t>REQ_NCI_CLIENT_PARAMETER_VALUE_SET</t>
        </is>
      </c>
      <c r="B44" t="inlineStr">
        <is>
          <t>Entity</t>
        </is>
      </c>
      <c r="C44" t="inlineStr">
        <is>
          <t>PII</t>
        </is>
      </c>
      <c r="D44" s="6" t="inlineStr">
        <is>
          <t>false</t>
        </is>
      </c>
      <c r="E44" s="6" t="n"/>
      <c r="F44" s="11" t="inlineStr">
        <is>
          <t>MISSING</t>
        </is>
      </c>
      <c r="G44" t="inlineStr">
        <is>
          <t>SHL_LDM_EntityPropertyExtension.PII</t>
        </is>
      </c>
      <c r="H44" s="6" t="inlineStr">
        <is>
          <t>erwin holds no value for this UDP on this object.</t>
        </is>
      </c>
    </row>
    <row r="45">
      <c r="A45" t="inlineStr">
        <is>
          <t>REQ_NCI_CLIENT_PRODUCT_FACTOR</t>
        </is>
      </c>
      <c r="B45" t="inlineStr">
        <is>
          <t>Entity</t>
        </is>
      </c>
      <c r="C45" t="inlineStr">
        <is>
          <t>PII</t>
        </is>
      </c>
      <c r="D45" s="6" t="inlineStr">
        <is>
          <t>false</t>
        </is>
      </c>
      <c r="E45" s="6" t="n"/>
      <c r="F45" s="11" t="inlineStr">
        <is>
          <t>MISSING</t>
        </is>
      </c>
      <c r="G45" t="inlineStr">
        <is>
          <t>SHL_LDM_EntityPropertyExtension.PII</t>
        </is>
      </c>
      <c r="H45" s="6" t="inlineStr">
        <is>
          <t>erwin holds no value for this UDP on this object.</t>
        </is>
      </c>
    </row>
    <row r="46">
      <c r="A46" t="inlineStr">
        <is>
          <t>REQ_NCI_CLIENT_PRODUCT_TYPE</t>
        </is>
      </c>
      <c r="B46" t="inlineStr">
        <is>
          <t>Entity</t>
        </is>
      </c>
      <c r="C46" t="inlineStr">
        <is>
          <t>PII</t>
        </is>
      </c>
      <c r="D46" s="6" t="inlineStr">
        <is>
          <t>false</t>
        </is>
      </c>
      <c r="E46" s="6" t="n"/>
      <c r="F46" s="11" t="inlineStr">
        <is>
          <t>MISSING</t>
        </is>
      </c>
      <c r="G46" t="inlineStr">
        <is>
          <t>SHL_LDM_EntityPropertyExtension.PII</t>
        </is>
      </c>
      <c r="H46" s="6" t="inlineStr">
        <is>
          <t>erwin holds no value for this UDP on this object.</t>
        </is>
      </c>
    </row>
    <row r="47">
      <c r="A47" t="inlineStr">
        <is>
          <t>REQ_PCF_FUEL_PRODUCT_REGION_CLIENT</t>
        </is>
      </c>
      <c r="B47" t="inlineStr">
        <is>
          <t>Entity</t>
        </is>
      </c>
      <c r="C47" t="inlineStr">
        <is>
          <t>PII</t>
        </is>
      </c>
      <c r="D47" s="6" t="inlineStr">
        <is>
          <t>false</t>
        </is>
      </c>
      <c r="E47" s="6" t="n"/>
      <c r="F47" s="11" t="inlineStr">
        <is>
          <t>MISSING</t>
        </is>
      </c>
      <c r="G47" t="inlineStr">
        <is>
          <t>SHL_LDM_EntityPropertyExtension.PII</t>
        </is>
      </c>
      <c r="H47" s="6" t="inlineStr">
        <is>
          <t>erwin holds no value for this UDP on this object.</t>
        </is>
      </c>
    </row>
    <row r="48">
      <c r="A48" t="inlineStr">
        <is>
          <t>UOM</t>
        </is>
      </c>
      <c r="B48" t="inlineStr">
        <is>
          <t>Entity</t>
        </is>
      </c>
      <c r="C48" t="inlineStr">
        <is>
          <t>PII</t>
        </is>
      </c>
      <c r="D48" s="6" t="inlineStr">
        <is>
          <t>false</t>
        </is>
      </c>
      <c r="E48" s="6" t="n"/>
      <c r="F48" s="11" t="inlineStr">
        <is>
          <t>MISSING</t>
        </is>
      </c>
      <c r="G48" t="inlineStr">
        <is>
          <t>SHL_LDM_EntityPropertyExtension.PII</t>
        </is>
      </c>
      <c r="H48" s="6" t="inlineStr">
        <is>
          <t>erwin holds no value for this UDP on this object.</t>
        </is>
      </c>
    </row>
    <row r="49">
      <c r="A49" t="inlineStr">
        <is>
          <t>UOM_CONVERSION</t>
        </is>
      </c>
      <c r="B49" t="inlineStr">
        <is>
          <t>Entity</t>
        </is>
      </c>
      <c r="C49" t="inlineStr">
        <is>
          <t>PII</t>
        </is>
      </c>
      <c r="D49" s="6" t="inlineStr">
        <is>
          <t>false</t>
        </is>
      </c>
      <c r="E49" s="6" t="n"/>
      <c r="F49" s="11" t="inlineStr">
        <is>
          <t>MISSING</t>
        </is>
      </c>
      <c r="G49" t="inlineStr">
        <is>
          <t>SHL_LDM_EntityPropertyExtension.PII</t>
        </is>
      </c>
      <c r="H49" s="6" t="inlineStr">
        <is>
          <t>erwin holds no value for this UDP on this object.</t>
        </is>
      </c>
    </row>
    <row r="50">
      <c r="A50" t="inlineStr">
        <is>
          <t>UOM_CONVERSION_TYPE</t>
        </is>
      </c>
      <c r="B50" t="inlineStr">
        <is>
          <t>Entity</t>
        </is>
      </c>
      <c r="C50" t="inlineStr">
        <is>
          <t>PII</t>
        </is>
      </c>
      <c r="D50" s="6" t="inlineStr">
        <is>
          <t>false</t>
        </is>
      </c>
      <c r="E50" s="6" t="n"/>
      <c r="F50" s="11" t="inlineStr">
        <is>
          <t>MISSING</t>
        </is>
      </c>
      <c r="G50" t="inlineStr">
        <is>
          <t>SHL_LDM_EntityPropertyExtension.PII</t>
        </is>
      </c>
      <c r="H50" s="6" t="inlineStr">
        <is>
          <t>erwin holds no value for this UDP on this object.</t>
        </is>
      </c>
    </row>
    <row r="51">
      <c r="A51" t="inlineStr">
        <is>
          <t>UOM_DERIVATION</t>
        </is>
      </c>
      <c r="B51" t="inlineStr">
        <is>
          <t>Entity</t>
        </is>
      </c>
      <c r="C51" t="inlineStr">
        <is>
          <t>PII</t>
        </is>
      </c>
      <c r="D51" s="6" t="inlineStr">
        <is>
          <t>false</t>
        </is>
      </c>
      <c r="E51" s="6" t="n"/>
      <c r="F51" s="11" t="inlineStr">
        <is>
          <t>MISSING</t>
        </is>
      </c>
      <c r="G51" t="inlineStr">
        <is>
          <t>SHL_LDM_EntityPropertyExtension.PII</t>
        </is>
      </c>
      <c r="H51" s="6" t="inlineStr">
        <is>
          <t>erwin holds no value for this UDP on this object.</t>
        </is>
      </c>
    </row>
    <row r="52">
      <c r="A52" t="inlineStr">
        <is>
          <t>ACTIVITY_CATEGORY</t>
        </is>
      </c>
      <c r="B52" t="inlineStr">
        <is>
          <t>Entity</t>
        </is>
      </c>
      <c r="C52" t="inlineStr">
        <is>
          <t>CSI</t>
        </is>
      </c>
      <c r="D52" s="6" t="inlineStr">
        <is>
          <t>false</t>
        </is>
      </c>
      <c r="E52" s="6" t="inlineStr">
        <is>
          <t>false</t>
        </is>
      </c>
      <c r="F52" s="12" t="inlineStr">
        <is>
          <t>PASS</t>
        </is>
      </c>
      <c r="G52" t="inlineStr">
        <is>
          <t>SHL_LDM_EntityPropertyExtension.CSI</t>
        </is>
      </c>
      <c r="H52" s="6" t="n"/>
    </row>
    <row r="53">
      <c r="A53" t="inlineStr">
        <is>
          <t>ACTIVITY_CATEGORY</t>
        </is>
      </c>
      <c r="B53" t="inlineStr">
        <is>
          <t>Entity</t>
        </is>
      </c>
      <c r="C53" t="inlineStr">
        <is>
          <t>CommerciallySensitiveInformation</t>
        </is>
      </c>
      <c r="D53" s="6" t="inlineStr">
        <is>
          <t>No Commercially Sensitive Information</t>
        </is>
      </c>
      <c r="E53" s="6" t="inlineStr">
        <is>
          <t>No Commercially Sensitive Information</t>
        </is>
      </c>
      <c r="F53" s="12" t="inlineStr">
        <is>
          <t>PASS</t>
        </is>
      </c>
      <c r="G53" t="inlineStr">
        <is>
          <t>BIM-core.CommerciallySensitiveInformation</t>
        </is>
      </c>
      <c r="H53" s="6" t="n"/>
    </row>
    <row r="54">
      <c r="A54" t="inlineStr">
        <is>
          <t>ACTIVITY_CATEGORY</t>
        </is>
      </c>
      <c r="B54" t="inlineStr">
        <is>
          <t>Entity</t>
        </is>
      </c>
      <c r="C54" t="inlineStr">
        <is>
          <t>Criticality</t>
        </is>
      </c>
      <c r="D54" s="6" t="inlineStr">
        <is>
          <t>No Critical Data</t>
        </is>
      </c>
      <c r="E54" s="6" t="inlineStr">
        <is>
          <t>No Critical Data</t>
        </is>
      </c>
      <c r="F54" s="12" t="inlineStr">
        <is>
          <t>PASS</t>
        </is>
      </c>
      <c r="G54" t="inlineStr">
        <is>
          <t>BIM-core.Criticality</t>
        </is>
      </c>
      <c r="H54" s="6" t="n"/>
    </row>
    <row r="55">
      <c r="A55" t="inlineStr">
        <is>
          <t>ACTIVITY_CATEGORY</t>
        </is>
      </c>
      <c r="B55" t="inlineStr">
        <is>
          <t>Entity</t>
        </is>
      </c>
      <c r="C55" t="inlineStr">
        <is>
          <t>DataArea</t>
        </is>
      </c>
      <c r="D55" s="6" t="inlineStr">
        <is>
          <t>Emission</t>
        </is>
      </c>
      <c r="E55" s="6" t="inlineStr">
        <is>
          <t>Emission</t>
        </is>
      </c>
      <c r="F55" s="12" t="inlineStr">
        <is>
          <t>PASS</t>
        </is>
      </c>
      <c r="G55" t="inlineStr">
        <is>
          <t>BIM-core.DataArea</t>
        </is>
      </c>
      <c r="H55" s="6" t="n"/>
    </row>
    <row r="56">
      <c r="A56" t="inlineStr">
        <is>
          <t>ACTIVITY_CATEGORY</t>
        </is>
      </c>
      <c r="B56" t="inlineStr">
        <is>
          <t>Entity</t>
        </is>
      </c>
      <c r="C56" t="inlineStr">
        <is>
          <t>DataCategory</t>
        </is>
      </c>
      <c r="D56" s="6" t="inlineStr">
        <is>
          <t>Structured</t>
        </is>
      </c>
      <c r="E56" s="6" t="inlineStr">
        <is>
          <t>Structured</t>
        </is>
      </c>
      <c r="F56" s="12" t="inlineStr">
        <is>
          <t>PASS</t>
        </is>
      </c>
      <c r="G56" t="inlineStr">
        <is>
          <t>BIM-core.DataCategory</t>
        </is>
      </c>
      <c r="H56" s="6" t="n"/>
    </row>
    <row r="57">
      <c r="A57" t="inlineStr">
        <is>
          <t>ACTIVITY_CATEGORY</t>
        </is>
      </c>
      <c r="B57" t="inlineStr">
        <is>
          <t>Entity</t>
        </is>
      </c>
      <c r="C57" t="inlineStr">
        <is>
          <t>DataConfidentiality</t>
        </is>
      </c>
      <c r="D57" s="6" t="inlineStr">
        <is>
          <t>Internal</t>
        </is>
      </c>
      <c r="E57" s="6" t="inlineStr">
        <is>
          <t>Internal</t>
        </is>
      </c>
      <c r="F57" s="12" t="inlineStr">
        <is>
          <t>PASS</t>
        </is>
      </c>
      <c r="G57" t="inlineStr">
        <is>
          <t>BIM-core.DataConfidentiality</t>
        </is>
      </c>
      <c r="H57" s="6" t="n"/>
    </row>
    <row r="58">
      <c r="A58" t="inlineStr">
        <is>
          <t>ACTIVITY_CATEGORY</t>
        </is>
      </c>
      <c r="B58" t="inlineStr">
        <is>
          <t>Entity</t>
        </is>
      </c>
      <c r="C58" t="inlineStr">
        <is>
          <t>DesignStatus</t>
        </is>
      </c>
      <c r="D58" s="6" t="inlineStr">
        <is>
          <t>Approved</t>
        </is>
      </c>
      <c r="E58" s="6" t="inlineStr">
        <is>
          <t>Approved</t>
        </is>
      </c>
      <c r="F58" s="12" t="inlineStr">
        <is>
          <t>PASS</t>
        </is>
      </c>
      <c r="G58" t="inlineStr">
        <is>
          <t>BIM-core.DesignStatus</t>
        </is>
      </c>
      <c r="H58" s="6" t="n"/>
    </row>
    <row r="59">
      <c r="A59" t="inlineStr">
        <is>
          <t>ACTIVITY_CATEGORY</t>
        </is>
      </c>
      <c r="B59" t="inlineStr">
        <is>
          <t>Entity</t>
        </is>
      </c>
      <c r="C59" t="inlineStr">
        <is>
          <t>EntityCategory</t>
        </is>
      </c>
      <c r="D59" s="6" t="inlineStr">
        <is>
          <t>Master</t>
        </is>
      </c>
      <c r="E59" s="6" t="inlineStr">
        <is>
          <t>Master</t>
        </is>
      </c>
      <c r="F59" s="12" t="inlineStr">
        <is>
          <t>PASS</t>
        </is>
      </c>
      <c r="G59" t="inlineStr">
        <is>
          <t>BIM-core.EntityCategory</t>
        </is>
      </c>
      <c r="H59" s="6" t="n"/>
    </row>
    <row r="60">
      <c r="A60" t="inlineStr">
        <is>
          <t>ACTIVITY_CATEGORY</t>
        </is>
      </c>
      <c r="B60" t="inlineStr">
        <is>
          <t>Entity</t>
        </is>
      </c>
      <c r="C60" t="inlineStr">
        <is>
          <t>EntityPersonalData</t>
        </is>
      </c>
      <c r="D60" s="6" t="inlineStr">
        <is>
          <t>No Personal Data</t>
        </is>
      </c>
      <c r="E60" s="6" t="inlineStr">
        <is>
          <t>No Personal Data</t>
        </is>
      </c>
      <c r="F60" s="12" t="inlineStr">
        <is>
          <t>PASS</t>
        </is>
      </c>
      <c r="G60" t="inlineStr">
        <is>
          <t>BIM-core.EntityPersonalData</t>
        </is>
      </c>
      <c r="H60" s="6" t="n"/>
    </row>
    <row r="61">
      <c r="A61" t="inlineStr">
        <is>
          <t>ACTIVITY_CATEGORY</t>
        </is>
      </c>
      <c r="B61" t="inlineStr">
        <is>
          <t>Entity</t>
        </is>
      </c>
      <c r="C61" t="inlineStr">
        <is>
          <t>FinancialPersonalData</t>
        </is>
      </c>
      <c r="D61" s="6" t="inlineStr">
        <is>
          <t>No Financial Personal Data</t>
        </is>
      </c>
      <c r="E61" s="6" t="inlineStr">
        <is>
          <t>No Financial Personal Data</t>
        </is>
      </c>
      <c r="F61" s="12" t="inlineStr">
        <is>
          <t>PASS</t>
        </is>
      </c>
      <c r="G61" t="inlineStr">
        <is>
          <t>BIM-core.FinancialPersonalData</t>
        </is>
      </c>
      <c r="H61" s="6" t="n"/>
    </row>
    <row r="62">
      <c r="A62" t="inlineStr">
        <is>
          <t>ACTIVITY_CATEGORY</t>
        </is>
      </c>
      <c r="B62" t="inlineStr">
        <is>
          <t>Entity</t>
        </is>
      </c>
      <c r="C62" t="inlineStr">
        <is>
          <t>MTED_Encryption_Required</t>
        </is>
      </c>
      <c r="D62" s="6" t="inlineStr">
        <is>
          <t>false</t>
        </is>
      </c>
      <c r="E62" s="6" t="inlineStr">
        <is>
          <t>false</t>
        </is>
      </c>
      <c r="F62" s="12" t="inlineStr">
        <is>
          <t>PASS</t>
        </is>
      </c>
      <c r="G62" t="inlineStr">
        <is>
          <t>SHL_LDM_EntityPropertyExtension.MTED_Encryption_Required</t>
        </is>
      </c>
      <c r="H62" s="6" t="n"/>
    </row>
    <row r="63">
      <c r="A63" t="inlineStr">
        <is>
          <t>ACTIVITY_CATEGORY</t>
        </is>
      </c>
      <c r="B63" t="inlineStr">
        <is>
          <t>Entity</t>
        </is>
      </c>
      <c r="C63" t="inlineStr">
        <is>
          <t>MappingLevel</t>
        </is>
      </c>
      <c r="D63" s="6" t="inlineStr">
        <is>
          <t>BLM</t>
        </is>
      </c>
      <c r="E63" s="6" t="inlineStr">
        <is>
          <t>BLM</t>
        </is>
      </c>
      <c r="F63" s="12" t="inlineStr">
        <is>
          <t>PASS</t>
        </is>
      </c>
      <c r="G63" t="inlineStr">
        <is>
          <t>BIM-core.MappingLevel</t>
        </is>
      </c>
      <c r="H63" s="6" t="n"/>
    </row>
    <row r="64">
      <c r="A64" t="inlineStr">
        <is>
          <t>ACTIVITY_CATEGORY</t>
        </is>
      </c>
      <c r="B64" t="inlineStr">
        <is>
          <t>Entity</t>
        </is>
      </c>
      <c r="C64" t="inlineStr">
        <is>
          <t>MapsToEntity</t>
        </is>
      </c>
      <c r="D64" s="6" t="inlineStr">
        <is>
          <t>EMISSION_ACTIVITY_CATEGORY</t>
        </is>
      </c>
      <c r="E64" s="6" t="inlineStr">
        <is>
          <t>EMISSION_ACTIVITY_CATEGORY</t>
        </is>
      </c>
      <c r="F64" s="12" t="inlineStr">
        <is>
          <t>PASS</t>
        </is>
      </c>
      <c r="G64" t="inlineStr">
        <is>
          <t>BIM-core.MapsToEntity</t>
        </is>
      </c>
      <c r="H64" s="6" t="n"/>
    </row>
    <row r="65">
      <c r="A65" t="inlineStr">
        <is>
          <t>ACTIVITY_CATEGORY</t>
        </is>
      </c>
      <c r="B65" t="inlineStr">
        <is>
          <t>Entity</t>
        </is>
      </c>
      <c r="C65" t="inlineStr">
        <is>
          <t>PD_ObjectID</t>
        </is>
      </c>
      <c r="D65" s="6" t="inlineStr">
        <is>
          <t>0F32AF8D-C27C-4BA2-B673-8DEAD1AC55D3</t>
        </is>
      </c>
      <c r="E65" s="6" t="inlineStr">
        <is>
          <t>0F32AF8D-C27C-4BA2-B673-8DEAD1AC55D3</t>
        </is>
      </c>
      <c r="F65" s="12" t="inlineStr">
        <is>
          <t>PASS</t>
        </is>
      </c>
      <c r="H65" s="6" t="n"/>
    </row>
    <row r="66">
      <c r="A66" t="inlineStr">
        <is>
          <t>ACTIVITY_CATEGORY</t>
        </is>
      </c>
      <c r="B66" t="inlineStr">
        <is>
          <t>Entity</t>
        </is>
      </c>
      <c r="C66" t="inlineStr">
        <is>
          <t>PD_SourceExtraction</t>
        </is>
      </c>
      <c r="D66" s="6" t="inlineStr">
        <is>
          <t>46603045</t>
        </is>
      </c>
      <c r="E66" s="6" t="inlineStr">
        <is>
          <t>46603045</t>
        </is>
      </c>
      <c r="F66" s="12" t="inlineStr">
        <is>
          <t>PASS</t>
        </is>
      </c>
      <c r="H66" s="6" t="n"/>
    </row>
    <row r="67">
      <c r="A67" t="inlineStr">
        <is>
          <t>ACTIVITY_CATEGORY</t>
        </is>
      </c>
      <c r="B67" t="inlineStr">
        <is>
          <t>Entity</t>
        </is>
      </c>
      <c r="C67" t="inlineStr">
        <is>
          <t>PD_SourceModel</t>
        </is>
      </c>
      <c r="D67" s="6" t="inlineStr">
        <is>
          <t>05_Carbon_Calculator</t>
        </is>
      </c>
      <c r="E67" s="6" t="inlineStr">
        <is>
          <t>05_Carbon_Calculator</t>
        </is>
      </c>
      <c r="F67" s="12" t="inlineStr">
        <is>
          <t>PASS</t>
        </is>
      </c>
      <c r="H67" s="6" t="n"/>
    </row>
    <row r="68">
      <c r="A68" t="inlineStr">
        <is>
          <t>ACTIVITY_CATEGORY</t>
        </is>
      </c>
      <c r="B68" t="inlineStr">
        <is>
          <t>Entity</t>
        </is>
      </c>
      <c r="C68" t="inlineStr">
        <is>
          <t>SensitivePersonalData</t>
        </is>
      </c>
      <c r="D68" s="6" t="inlineStr">
        <is>
          <t>No Sensitive Personal Data</t>
        </is>
      </c>
      <c r="E68" s="6" t="inlineStr">
        <is>
          <t>No Sensitive Personal Data</t>
        </is>
      </c>
      <c r="F68" s="12" t="inlineStr">
        <is>
          <t>PASS</t>
        </is>
      </c>
      <c r="G68" t="inlineStr">
        <is>
          <t>BIM-core.SensitivePersonalData</t>
        </is>
      </c>
      <c r="H68" s="6" t="n"/>
    </row>
    <row r="69">
      <c r="A69" t="inlineStr">
        <is>
          <t>ACTIVITY_CATEGORY_DIMENSION</t>
        </is>
      </c>
      <c r="B69" t="inlineStr">
        <is>
          <t>Entity</t>
        </is>
      </c>
      <c r="C69" t="inlineStr">
        <is>
          <t>CSI</t>
        </is>
      </c>
      <c r="D69" s="6" t="inlineStr">
        <is>
          <t>false</t>
        </is>
      </c>
      <c r="E69" s="6" t="inlineStr">
        <is>
          <t>false</t>
        </is>
      </c>
      <c r="F69" s="12" t="inlineStr">
        <is>
          <t>PASS</t>
        </is>
      </c>
      <c r="G69" t="inlineStr">
        <is>
          <t>SHL_LDM_EntityPropertyExtension.CSI</t>
        </is>
      </c>
      <c r="H69" s="6" t="n"/>
    </row>
    <row r="70">
      <c r="A70" t="inlineStr">
        <is>
          <t>ACTIVITY_CATEGORY_DIMENSION</t>
        </is>
      </c>
      <c r="B70" t="inlineStr">
        <is>
          <t>Entity</t>
        </is>
      </c>
      <c r="C70" t="inlineStr">
        <is>
          <t>CommerciallySensitiveInformation</t>
        </is>
      </c>
      <c r="D70" s="6" t="inlineStr">
        <is>
          <t>No Commercially Sensitive Information</t>
        </is>
      </c>
      <c r="E70" s="6" t="inlineStr">
        <is>
          <t>No Commercially Sensitive Information</t>
        </is>
      </c>
      <c r="F70" s="12" t="inlineStr">
        <is>
          <t>PASS</t>
        </is>
      </c>
      <c r="G70" t="inlineStr">
        <is>
          <t>BIM-core.CommerciallySensitiveInformation</t>
        </is>
      </c>
      <c r="H70" s="6" t="n"/>
    </row>
    <row r="71">
      <c r="A71" t="inlineStr">
        <is>
          <t>ACTIVITY_CATEGORY_DIMENSION</t>
        </is>
      </c>
      <c r="B71" t="inlineStr">
        <is>
          <t>Entity</t>
        </is>
      </c>
      <c r="C71" t="inlineStr">
        <is>
          <t>Criticality</t>
        </is>
      </c>
      <c r="D71" s="6" t="inlineStr">
        <is>
          <t>No Critical Data</t>
        </is>
      </c>
      <c r="E71" s="6" t="inlineStr">
        <is>
          <t>No Critical Data</t>
        </is>
      </c>
      <c r="F71" s="12" t="inlineStr">
        <is>
          <t>PASS</t>
        </is>
      </c>
      <c r="G71" t="inlineStr">
        <is>
          <t>BIM-core.Criticality</t>
        </is>
      </c>
      <c r="H71" s="6" t="n"/>
    </row>
    <row r="72">
      <c r="A72" t="inlineStr">
        <is>
          <t>ACTIVITY_CATEGORY_DIMENSION</t>
        </is>
      </c>
      <c r="B72" t="inlineStr">
        <is>
          <t>Entity</t>
        </is>
      </c>
      <c r="C72" t="inlineStr">
        <is>
          <t>DataArea</t>
        </is>
      </c>
      <c r="D72" s="6" t="inlineStr">
        <is>
          <t>Emission</t>
        </is>
      </c>
      <c r="E72" s="6" t="inlineStr">
        <is>
          <t>Emission</t>
        </is>
      </c>
      <c r="F72" s="12" t="inlineStr">
        <is>
          <t>PASS</t>
        </is>
      </c>
      <c r="G72" t="inlineStr">
        <is>
          <t>BIM-core.DataArea</t>
        </is>
      </c>
      <c r="H72" s="6" t="n"/>
    </row>
    <row r="73">
      <c r="A73" t="inlineStr">
        <is>
          <t>ACTIVITY_CATEGORY_DIMENSION</t>
        </is>
      </c>
      <c r="B73" t="inlineStr">
        <is>
          <t>Entity</t>
        </is>
      </c>
      <c r="C73" t="inlineStr">
        <is>
          <t>DataCategory</t>
        </is>
      </c>
      <c r="D73" s="6" t="inlineStr">
        <is>
          <t>Structured</t>
        </is>
      </c>
      <c r="E73" s="6" t="inlineStr">
        <is>
          <t>Structured</t>
        </is>
      </c>
      <c r="F73" s="12" t="inlineStr">
        <is>
          <t>PASS</t>
        </is>
      </c>
      <c r="G73" t="inlineStr">
        <is>
          <t>BIM-core.DataCategory</t>
        </is>
      </c>
      <c r="H73" s="6" t="n"/>
    </row>
    <row r="74">
      <c r="A74" t="inlineStr">
        <is>
          <t>ACTIVITY_CATEGORY_DIMENSION</t>
        </is>
      </c>
      <c r="B74" t="inlineStr">
        <is>
          <t>Entity</t>
        </is>
      </c>
      <c r="C74" t="inlineStr">
        <is>
          <t>DataConfidentiality</t>
        </is>
      </c>
      <c r="D74" s="6" t="inlineStr">
        <is>
          <t>Internal</t>
        </is>
      </c>
      <c r="E74" s="6" t="inlineStr">
        <is>
          <t>Internal</t>
        </is>
      </c>
      <c r="F74" s="12" t="inlineStr">
        <is>
          <t>PASS</t>
        </is>
      </c>
      <c r="G74" t="inlineStr">
        <is>
          <t>BIM-core.DataConfidentiality</t>
        </is>
      </c>
      <c r="H74" s="6" t="n"/>
    </row>
    <row r="75">
      <c r="A75" t="inlineStr">
        <is>
          <t>ACTIVITY_CATEGORY_DIMENSION</t>
        </is>
      </c>
      <c r="B75" t="inlineStr">
        <is>
          <t>Entity</t>
        </is>
      </c>
      <c r="C75" t="inlineStr">
        <is>
          <t>DesignStatus</t>
        </is>
      </c>
      <c r="D75" s="6" t="inlineStr">
        <is>
          <t>Approved</t>
        </is>
      </c>
      <c r="E75" s="6" t="inlineStr">
        <is>
          <t>Approved</t>
        </is>
      </c>
      <c r="F75" s="12" t="inlineStr">
        <is>
          <t>PASS</t>
        </is>
      </c>
      <c r="G75" t="inlineStr">
        <is>
          <t>BIM-core.DesignStatus</t>
        </is>
      </c>
      <c r="H75" s="6" t="n"/>
    </row>
    <row r="76">
      <c r="A76" t="inlineStr">
        <is>
          <t>ACTIVITY_CATEGORY_DIMENSION</t>
        </is>
      </c>
      <c r="B76" t="inlineStr">
        <is>
          <t>Entity</t>
        </is>
      </c>
      <c r="C76" t="inlineStr">
        <is>
          <t>EntityCategory</t>
        </is>
      </c>
      <c r="D76" s="6" t="inlineStr">
        <is>
          <t>Master</t>
        </is>
      </c>
      <c r="E76" s="6" t="inlineStr">
        <is>
          <t>Master</t>
        </is>
      </c>
      <c r="F76" s="12" t="inlineStr">
        <is>
          <t>PASS</t>
        </is>
      </c>
      <c r="G76" t="inlineStr">
        <is>
          <t>BIM-core.EntityCategory</t>
        </is>
      </c>
      <c r="H76" s="6" t="n"/>
    </row>
    <row r="77">
      <c r="A77" t="inlineStr">
        <is>
          <t>ACTIVITY_CATEGORY_DIMENSION</t>
        </is>
      </c>
      <c r="B77" t="inlineStr">
        <is>
          <t>Entity</t>
        </is>
      </c>
      <c r="C77" t="inlineStr">
        <is>
          <t>EntityPersonalData</t>
        </is>
      </c>
      <c r="D77" s="6" t="inlineStr">
        <is>
          <t>No Personal Data</t>
        </is>
      </c>
      <c r="E77" s="6" t="inlineStr">
        <is>
          <t>No Personal Data</t>
        </is>
      </c>
      <c r="F77" s="12" t="inlineStr">
        <is>
          <t>PASS</t>
        </is>
      </c>
      <c r="G77" t="inlineStr">
        <is>
          <t>BIM-core.EntityPersonalData</t>
        </is>
      </c>
      <c r="H77" s="6" t="n"/>
    </row>
    <row r="78">
      <c r="A78" t="inlineStr">
        <is>
          <t>ACTIVITY_CATEGORY_DIMENSION</t>
        </is>
      </c>
      <c r="B78" t="inlineStr">
        <is>
          <t>Entity</t>
        </is>
      </c>
      <c r="C78" t="inlineStr">
        <is>
          <t>FinancialPersonalData</t>
        </is>
      </c>
      <c r="D78" s="6" t="inlineStr">
        <is>
          <t>No Financial Personal Data</t>
        </is>
      </c>
      <c r="E78" s="6" t="inlineStr">
        <is>
          <t>No Financial Personal Data</t>
        </is>
      </c>
      <c r="F78" s="12" t="inlineStr">
        <is>
          <t>PASS</t>
        </is>
      </c>
      <c r="G78" t="inlineStr">
        <is>
          <t>BIM-core.FinancialPersonalData</t>
        </is>
      </c>
      <c r="H78" s="6" t="n"/>
    </row>
    <row r="79">
      <c r="A79" t="inlineStr">
        <is>
          <t>ACTIVITY_CATEGORY_DIMENSION</t>
        </is>
      </c>
      <c r="B79" t="inlineStr">
        <is>
          <t>Entity</t>
        </is>
      </c>
      <c r="C79" t="inlineStr">
        <is>
          <t>MTED_Encryption_Required</t>
        </is>
      </c>
      <c r="D79" s="6" t="inlineStr">
        <is>
          <t>false</t>
        </is>
      </c>
      <c r="E79" s="6" t="inlineStr">
        <is>
          <t>false</t>
        </is>
      </c>
      <c r="F79" s="12" t="inlineStr">
        <is>
          <t>PASS</t>
        </is>
      </c>
      <c r="G79" t="inlineStr">
        <is>
          <t>SHL_LDM_EntityPropertyExtension.MTED_Encryption_Required</t>
        </is>
      </c>
      <c r="H79" s="6" t="n"/>
    </row>
    <row r="80">
      <c r="A80" t="inlineStr">
        <is>
          <t>ACTIVITY_CATEGORY_DIMENSION</t>
        </is>
      </c>
      <c r="B80" t="inlineStr">
        <is>
          <t>Entity</t>
        </is>
      </c>
      <c r="C80" t="inlineStr">
        <is>
          <t>MappingLevel</t>
        </is>
      </c>
      <c r="D80" s="6" t="inlineStr">
        <is>
          <t>BLM</t>
        </is>
      </c>
      <c r="E80" s="6" t="inlineStr">
        <is>
          <t>BLM</t>
        </is>
      </c>
      <c r="F80" s="12" t="inlineStr">
        <is>
          <t>PASS</t>
        </is>
      </c>
      <c r="G80" t="inlineStr">
        <is>
          <t>BIM-core.MappingLevel</t>
        </is>
      </c>
      <c r="H80" s="6" t="n"/>
    </row>
    <row r="81">
      <c r="A81" t="inlineStr">
        <is>
          <t>ACTIVITY_CATEGORY_DIMENSION</t>
        </is>
      </c>
      <c r="B81" t="inlineStr">
        <is>
          <t>Entity</t>
        </is>
      </c>
      <c r="C81" t="inlineStr">
        <is>
          <t>MapsToEntity</t>
        </is>
      </c>
      <c r="D81" s="6" t="inlineStr">
        <is>
          <t>EMISSION_CATEGORY_DIMENSION</t>
        </is>
      </c>
      <c r="E81" s="6" t="inlineStr">
        <is>
          <t>EMISSION_CATEGORY_DIMENSION</t>
        </is>
      </c>
      <c r="F81" s="12" t="inlineStr">
        <is>
          <t>PASS</t>
        </is>
      </c>
      <c r="G81" t="inlineStr">
        <is>
          <t>BIM-core.MapsToEntity</t>
        </is>
      </c>
      <c r="H81" s="6" t="n"/>
    </row>
    <row r="82">
      <c r="A82" t="inlineStr">
        <is>
          <t>ACTIVITY_CATEGORY_DIMENSION</t>
        </is>
      </c>
      <c r="B82" t="inlineStr">
        <is>
          <t>Entity</t>
        </is>
      </c>
      <c r="C82" t="inlineStr">
        <is>
          <t>PD_ObjectID</t>
        </is>
      </c>
      <c r="D82" s="6" t="inlineStr">
        <is>
          <t>4CBD2E3B-1800-4813-B4F2-BC88F8E62303</t>
        </is>
      </c>
      <c r="E82" s="6" t="inlineStr">
        <is>
          <t>4CBD2E3B-1800-4813-B4F2-BC88F8E62303</t>
        </is>
      </c>
      <c r="F82" s="12" t="inlineStr">
        <is>
          <t>PASS</t>
        </is>
      </c>
      <c r="H82" s="6" t="n"/>
    </row>
    <row r="83">
      <c r="A83" t="inlineStr">
        <is>
          <t>ACTIVITY_CATEGORY_DIMENSION</t>
        </is>
      </c>
      <c r="B83" t="inlineStr">
        <is>
          <t>Entity</t>
        </is>
      </c>
      <c r="C83" t="inlineStr">
        <is>
          <t>PD_SourceExtraction</t>
        </is>
      </c>
      <c r="D83" s="6" t="inlineStr">
        <is>
          <t>46603045</t>
        </is>
      </c>
      <c r="E83" s="6" t="inlineStr">
        <is>
          <t>46603045</t>
        </is>
      </c>
      <c r="F83" s="12" t="inlineStr">
        <is>
          <t>PASS</t>
        </is>
      </c>
      <c r="H83" s="6" t="n"/>
    </row>
    <row r="84">
      <c r="A84" t="inlineStr">
        <is>
          <t>ACTIVITY_CATEGORY_DIMENSION</t>
        </is>
      </c>
      <c r="B84" t="inlineStr">
        <is>
          <t>Entity</t>
        </is>
      </c>
      <c r="C84" t="inlineStr">
        <is>
          <t>PD_SourceModel</t>
        </is>
      </c>
      <c r="D84" s="6" t="inlineStr">
        <is>
          <t>05_Carbon_Calculator</t>
        </is>
      </c>
      <c r="E84" s="6" t="inlineStr">
        <is>
          <t>05_Carbon_Calculator</t>
        </is>
      </c>
      <c r="F84" s="12" t="inlineStr">
        <is>
          <t>PASS</t>
        </is>
      </c>
      <c r="H84" s="6" t="n"/>
    </row>
    <row r="85">
      <c r="A85" t="inlineStr">
        <is>
          <t>ACTIVITY_CATEGORY_DIMENSION</t>
        </is>
      </c>
      <c r="B85" t="inlineStr">
        <is>
          <t>Entity</t>
        </is>
      </c>
      <c r="C85" t="inlineStr">
        <is>
          <t>SensitivePersonalData</t>
        </is>
      </c>
      <c r="D85" s="6" t="inlineStr">
        <is>
          <t>No Sensitive Personal Data</t>
        </is>
      </c>
      <c r="E85" s="6" t="inlineStr">
        <is>
          <t>No Sensitive Personal Data</t>
        </is>
      </c>
      <c r="F85" s="12" t="inlineStr">
        <is>
          <t>PASS</t>
        </is>
      </c>
      <c r="G85" t="inlineStr">
        <is>
          <t>BIM-core.SensitivePersonalData</t>
        </is>
      </c>
      <c r="H85" s="6" t="n"/>
    </row>
    <row r="86">
      <c r="A86" t="inlineStr">
        <is>
          <t>ACTIVITY_CATEGORY_PARAMETER</t>
        </is>
      </c>
      <c r="B86" t="inlineStr">
        <is>
          <t>Entity</t>
        </is>
      </c>
      <c r="C86" t="inlineStr">
        <is>
          <t>CSI</t>
        </is>
      </c>
      <c r="D86" s="6" t="inlineStr">
        <is>
          <t>false</t>
        </is>
      </c>
      <c r="E86" s="6" t="inlineStr">
        <is>
          <t>false</t>
        </is>
      </c>
      <c r="F86" s="12" t="inlineStr">
        <is>
          <t>PASS</t>
        </is>
      </c>
      <c r="G86" t="inlineStr">
        <is>
          <t>SHL_LDM_EntityPropertyExtension.CSI</t>
        </is>
      </c>
      <c r="H86" s="6" t="n"/>
    </row>
    <row r="87">
      <c r="A87" t="inlineStr">
        <is>
          <t>ACTIVITY_CATEGORY_PARAMETER</t>
        </is>
      </c>
      <c r="B87" t="inlineStr">
        <is>
          <t>Entity</t>
        </is>
      </c>
      <c r="C87" t="inlineStr">
        <is>
          <t>CommerciallySensitiveInformation</t>
        </is>
      </c>
      <c r="D87" s="6" t="inlineStr">
        <is>
          <t>No Commercially Sensitive Information</t>
        </is>
      </c>
      <c r="E87" s="6" t="inlineStr">
        <is>
          <t>No Commercially Sensitive Information</t>
        </is>
      </c>
      <c r="F87" s="12" t="inlineStr">
        <is>
          <t>PASS</t>
        </is>
      </c>
      <c r="G87" t="inlineStr">
        <is>
          <t>BIM-core.CommerciallySensitiveInformation</t>
        </is>
      </c>
      <c r="H87" s="6" t="n"/>
    </row>
    <row r="88">
      <c r="A88" t="inlineStr">
        <is>
          <t>ACTIVITY_CATEGORY_PARAMETER</t>
        </is>
      </c>
      <c r="B88" t="inlineStr">
        <is>
          <t>Entity</t>
        </is>
      </c>
      <c r="C88" t="inlineStr">
        <is>
          <t>Criticality</t>
        </is>
      </c>
      <c r="D88" s="6" t="inlineStr">
        <is>
          <t>No Critical Data</t>
        </is>
      </c>
      <c r="E88" s="6" t="inlineStr">
        <is>
          <t>No Critical Data</t>
        </is>
      </c>
      <c r="F88" s="12" t="inlineStr">
        <is>
          <t>PASS</t>
        </is>
      </c>
      <c r="G88" t="inlineStr">
        <is>
          <t>BIM-core.Criticality</t>
        </is>
      </c>
      <c r="H88" s="6" t="n"/>
    </row>
    <row r="89">
      <c r="A89" t="inlineStr">
        <is>
          <t>ACTIVITY_CATEGORY_PARAMETER</t>
        </is>
      </c>
      <c r="B89" t="inlineStr">
        <is>
          <t>Entity</t>
        </is>
      </c>
      <c r="C89" t="inlineStr">
        <is>
          <t>DataCategory</t>
        </is>
      </c>
      <c r="D89" s="6" t="inlineStr">
        <is>
          <t>Structured</t>
        </is>
      </c>
      <c r="E89" s="6" t="inlineStr">
        <is>
          <t>Structured</t>
        </is>
      </c>
      <c r="F89" s="12" t="inlineStr">
        <is>
          <t>PASS</t>
        </is>
      </c>
      <c r="G89" t="inlineStr">
        <is>
          <t>BIM-core.DataCategory</t>
        </is>
      </c>
      <c r="H89" s="6" t="n"/>
    </row>
    <row r="90">
      <c r="A90" t="inlineStr">
        <is>
          <t>ACTIVITY_CATEGORY_PARAMETER</t>
        </is>
      </c>
      <c r="B90" t="inlineStr">
        <is>
          <t>Entity</t>
        </is>
      </c>
      <c r="C90" t="inlineStr">
        <is>
          <t>DataConfidentiality</t>
        </is>
      </c>
      <c r="D90" s="6" t="inlineStr">
        <is>
          <t>Internal</t>
        </is>
      </c>
      <c r="E90" s="6" t="inlineStr">
        <is>
          <t>Internal</t>
        </is>
      </c>
      <c r="F90" s="12" t="inlineStr">
        <is>
          <t>PASS</t>
        </is>
      </c>
      <c r="G90" t="inlineStr">
        <is>
          <t>BIM-core.DataConfidentiality</t>
        </is>
      </c>
      <c r="H90" s="6" t="n"/>
    </row>
    <row r="91">
      <c r="A91" t="inlineStr">
        <is>
          <t>ACTIVITY_CATEGORY_PARAMETER</t>
        </is>
      </c>
      <c r="B91" t="inlineStr">
        <is>
          <t>Entity</t>
        </is>
      </c>
      <c r="C91" t="inlineStr">
        <is>
          <t>DesignStatus</t>
        </is>
      </c>
      <c r="D91" s="6" t="inlineStr">
        <is>
          <t>Approved</t>
        </is>
      </c>
      <c r="E91" s="6" t="inlineStr">
        <is>
          <t>Approved</t>
        </is>
      </c>
      <c r="F91" s="12" t="inlineStr">
        <is>
          <t>PASS</t>
        </is>
      </c>
      <c r="G91" t="inlineStr">
        <is>
          <t>BIM-core.DesignStatus</t>
        </is>
      </c>
      <c r="H91" s="6" t="n"/>
    </row>
    <row r="92">
      <c r="A92" t="inlineStr">
        <is>
          <t>ACTIVITY_CATEGORY_PARAMETER</t>
        </is>
      </c>
      <c r="B92" t="inlineStr">
        <is>
          <t>Entity</t>
        </is>
      </c>
      <c r="C92" t="inlineStr">
        <is>
          <t>EntityCategory</t>
        </is>
      </c>
      <c r="D92" s="6" t="inlineStr">
        <is>
          <t>Master</t>
        </is>
      </c>
      <c r="E92" s="6" t="inlineStr">
        <is>
          <t>Master</t>
        </is>
      </c>
      <c r="F92" s="12" t="inlineStr">
        <is>
          <t>PASS</t>
        </is>
      </c>
      <c r="G92" t="inlineStr">
        <is>
          <t>BIM-core.EntityCategory</t>
        </is>
      </c>
      <c r="H92" s="6" t="n"/>
    </row>
    <row r="93">
      <c r="A93" t="inlineStr">
        <is>
          <t>ACTIVITY_CATEGORY_PARAMETER</t>
        </is>
      </c>
      <c r="B93" t="inlineStr">
        <is>
          <t>Entity</t>
        </is>
      </c>
      <c r="C93" t="inlineStr">
        <is>
          <t>EntityPersonalData</t>
        </is>
      </c>
      <c r="D93" s="6" t="inlineStr">
        <is>
          <t>No Personal Data</t>
        </is>
      </c>
      <c r="E93" s="6" t="inlineStr">
        <is>
          <t>No Personal Data</t>
        </is>
      </c>
      <c r="F93" s="12" t="inlineStr">
        <is>
          <t>PASS</t>
        </is>
      </c>
      <c r="G93" t="inlineStr">
        <is>
          <t>BIM-core.EntityPersonalData</t>
        </is>
      </c>
      <c r="H93" s="6" t="n"/>
    </row>
    <row r="94">
      <c r="A94" t="inlineStr">
        <is>
          <t>ACTIVITY_CATEGORY_PARAMETER</t>
        </is>
      </c>
      <c r="B94" t="inlineStr">
        <is>
          <t>Entity</t>
        </is>
      </c>
      <c r="C94" t="inlineStr">
        <is>
          <t>FinancialPersonalData</t>
        </is>
      </c>
      <c r="D94" s="6" t="inlineStr">
        <is>
          <t>No Financial Personal Data</t>
        </is>
      </c>
      <c r="E94" s="6" t="inlineStr">
        <is>
          <t>No Financial Personal Data</t>
        </is>
      </c>
      <c r="F94" s="12" t="inlineStr">
        <is>
          <t>PASS</t>
        </is>
      </c>
      <c r="G94" t="inlineStr">
        <is>
          <t>BIM-core.FinancialPersonalData</t>
        </is>
      </c>
      <c r="H94" s="6" t="n"/>
    </row>
    <row r="95">
      <c r="A95" t="inlineStr">
        <is>
          <t>ACTIVITY_CATEGORY_PARAMETER</t>
        </is>
      </c>
      <c r="B95" t="inlineStr">
        <is>
          <t>Entity</t>
        </is>
      </c>
      <c r="C95" t="inlineStr">
        <is>
          <t>MTED_Encryption_Required</t>
        </is>
      </c>
      <c r="D95" s="6" t="inlineStr">
        <is>
          <t>false</t>
        </is>
      </c>
      <c r="E95" s="6" t="inlineStr">
        <is>
          <t>false</t>
        </is>
      </c>
      <c r="F95" s="12" t="inlineStr">
        <is>
          <t>PASS</t>
        </is>
      </c>
      <c r="G95" t="inlineStr">
        <is>
          <t>SHL_LDM_EntityPropertyExtension.MTED_Encryption_Required</t>
        </is>
      </c>
      <c r="H95" s="6" t="n"/>
    </row>
    <row r="96">
      <c r="A96" t="inlineStr">
        <is>
          <t>ACTIVITY_CATEGORY_PARAMETER</t>
        </is>
      </c>
      <c r="B96" t="inlineStr">
        <is>
          <t>Entity</t>
        </is>
      </c>
      <c r="C96" t="inlineStr">
        <is>
          <t>MappingLevel</t>
        </is>
      </c>
      <c r="D96" s="6" t="inlineStr">
        <is>
          <t>BLM</t>
        </is>
      </c>
      <c r="E96" s="6" t="inlineStr">
        <is>
          <t>BLM</t>
        </is>
      </c>
      <c r="F96" s="12" t="inlineStr">
        <is>
          <t>PASS</t>
        </is>
      </c>
      <c r="G96" t="inlineStr">
        <is>
          <t>BIM-core.MappingLevel</t>
        </is>
      </c>
      <c r="H96" s="6" t="n"/>
    </row>
    <row r="97">
      <c r="A97" t="inlineStr">
        <is>
          <t>ACTIVITY_CATEGORY_PARAMETER</t>
        </is>
      </c>
      <c r="B97" t="inlineStr">
        <is>
          <t>Entity</t>
        </is>
      </c>
      <c r="C97" t="inlineStr">
        <is>
          <t>MapsToEntity</t>
        </is>
      </c>
      <c r="D97" s="6" t="inlineStr">
        <is>
          <t>EMISSION_ACTIVITY_CATEGORY_PARAMETER</t>
        </is>
      </c>
      <c r="E97" s="6" t="inlineStr">
        <is>
          <t>EMISSION_ACTIVITY_CATEGORY_PARAMETER</t>
        </is>
      </c>
      <c r="F97" s="12" t="inlineStr">
        <is>
          <t>PASS</t>
        </is>
      </c>
      <c r="G97" t="inlineStr">
        <is>
          <t>BIM-core.MapsToEntity</t>
        </is>
      </c>
      <c r="H97" s="6" t="n"/>
    </row>
    <row r="98">
      <c r="A98" t="inlineStr">
        <is>
          <t>ACTIVITY_CATEGORY_PARAMETER</t>
        </is>
      </c>
      <c r="B98" t="inlineStr">
        <is>
          <t>Entity</t>
        </is>
      </c>
      <c r="C98" t="inlineStr">
        <is>
          <t>PD_ObjectID</t>
        </is>
      </c>
      <c r="D98" s="6" t="inlineStr">
        <is>
          <t>9EB10367-A4B7-41A4-9881-D03494EA4436</t>
        </is>
      </c>
      <c r="E98" s="6" t="inlineStr">
        <is>
          <t>9EB10367-A4B7-41A4-9881-D03494EA4436</t>
        </is>
      </c>
      <c r="F98" s="12" t="inlineStr">
        <is>
          <t>PASS</t>
        </is>
      </c>
      <c r="H98" s="6" t="n"/>
    </row>
    <row r="99">
      <c r="A99" t="inlineStr">
        <is>
          <t>ACTIVITY_CATEGORY_PARAMETER</t>
        </is>
      </c>
      <c r="B99" t="inlineStr">
        <is>
          <t>Entity</t>
        </is>
      </c>
      <c r="C99" t="inlineStr">
        <is>
          <t>PD_SourceExtraction</t>
        </is>
      </c>
      <c r="D99" s="6" t="inlineStr">
        <is>
          <t>46603045</t>
        </is>
      </c>
      <c r="E99" s="6" t="inlineStr">
        <is>
          <t>46603045</t>
        </is>
      </c>
      <c r="F99" s="12" t="inlineStr">
        <is>
          <t>PASS</t>
        </is>
      </c>
      <c r="H99" s="6" t="n"/>
    </row>
    <row r="100">
      <c r="A100" t="inlineStr">
        <is>
          <t>ACTIVITY_CATEGORY_PARAMETER</t>
        </is>
      </c>
      <c r="B100" t="inlineStr">
        <is>
          <t>Entity</t>
        </is>
      </c>
      <c r="C100" t="inlineStr">
        <is>
          <t>PD_SourceModel</t>
        </is>
      </c>
      <c r="D100" s="6" t="inlineStr">
        <is>
          <t>05_Carbon_Calculator</t>
        </is>
      </c>
      <c r="E100" s="6" t="inlineStr">
        <is>
          <t>05_Carbon_Calculator</t>
        </is>
      </c>
      <c r="F100" s="12" t="inlineStr">
        <is>
          <t>PASS</t>
        </is>
      </c>
      <c r="H100" s="6" t="n"/>
    </row>
    <row r="101">
      <c r="A101" t="inlineStr">
        <is>
          <t>ACTIVITY_CATEGORY_PARAMETER</t>
        </is>
      </c>
      <c r="B101" t="inlineStr">
        <is>
          <t>Entity</t>
        </is>
      </c>
      <c r="C101" t="inlineStr">
        <is>
          <t>SensitivePersonalData</t>
        </is>
      </c>
      <c r="D101" s="6" t="inlineStr">
        <is>
          <t>No Sensitive Personal Data</t>
        </is>
      </c>
      <c r="E101" s="6" t="inlineStr">
        <is>
          <t>No Sensitive Personal Data</t>
        </is>
      </c>
      <c r="F101" s="12" t="inlineStr">
        <is>
          <t>PASS</t>
        </is>
      </c>
      <c r="G101" t="inlineStr">
        <is>
          <t>BIM-core.SensitivePersonalData</t>
        </is>
      </c>
      <c r="H101" s="6" t="n"/>
    </row>
    <row r="102">
      <c r="A102" t="inlineStr">
        <is>
          <t>ACTIVITY_CATEGORY_TYPE</t>
        </is>
      </c>
      <c r="B102" t="inlineStr">
        <is>
          <t>Entity</t>
        </is>
      </c>
      <c r="C102" t="inlineStr">
        <is>
          <t>CSI</t>
        </is>
      </c>
      <c r="D102" s="6" t="inlineStr">
        <is>
          <t>false</t>
        </is>
      </c>
      <c r="E102" s="6" t="inlineStr">
        <is>
          <t>false</t>
        </is>
      </c>
      <c r="F102" s="12" t="inlineStr">
        <is>
          <t>PASS</t>
        </is>
      </c>
      <c r="G102" t="inlineStr">
        <is>
          <t>SHL_LDM_EntityPropertyExtension.CSI</t>
        </is>
      </c>
      <c r="H102" s="6" t="n"/>
    </row>
    <row r="103">
      <c r="A103" t="inlineStr">
        <is>
          <t>ACTIVITY_CATEGORY_TYPE</t>
        </is>
      </c>
      <c r="B103" t="inlineStr">
        <is>
          <t>Entity</t>
        </is>
      </c>
      <c r="C103" t="inlineStr">
        <is>
          <t>CommerciallySensitiveInformation</t>
        </is>
      </c>
      <c r="D103" s="6" t="inlineStr">
        <is>
          <t>No Commercially Sensitive Information</t>
        </is>
      </c>
      <c r="E103" s="6" t="inlineStr">
        <is>
          <t>No Commercially Sensitive Information</t>
        </is>
      </c>
      <c r="F103" s="12" t="inlineStr">
        <is>
          <t>PASS</t>
        </is>
      </c>
      <c r="G103" t="inlineStr">
        <is>
          <t>BIM-core.CommerciallySensitiveInformation</t>
        </is>
      </c>
      <c r="H103" s="6" t="n"/>
    </row>
    <row r="104">
      <c r="A104" t="inlineStr">
        <is>
          <t>ACTIVITY_CATEGORY_TYPE</t>
        </is>
      </c>
      <c r="B104" t="inlineStr">
        <is>
          <t>Entity</t>
        </is>
      </c>
      <c r="C104" t="inlineStr">
        <is>
          <t>Criticality</t>
        </is>
      </c>
      <c r="D104" s="6" t="inlineStr">
        <is>
          <t>No Critical Data</t>
        </is>
      </c>
      <c r="E104" s="6" t="inlineStr">
        <is>
          <t>No Critical Data</t>
        </is>
      </c>
      <c r="F104" s="12" t="inlineStr">
        <is>
          <t>PASS</t>
        </is>
      </c>
      <c r="G104" t="inlineStr">
        <is>
          <t>BIM-core.Criticality</t>
        </is>
      </c>
      <c r="H104" s="6" t="n"/>
    </row>
    <row r="105">
      <c r="A105" t="inlineStr">
        <is>
          <t>ACTIVITY_CATEGORY_TYPE</t>
        </is>
      </c>
      <c r="B105" t="inlineStr">
        <is>
          <t>Entity</t>
        </is>
      </c>
      <c r="C105" t="inlineStr">
        <is>
          <t>DataCategory</t>
        </is>
      </c>
      <c r="D105" s="6" t="inlineStr">
        <is>
          <t>Structured</t>
        </is>
      </c>
      <c r="E105" s="6" t="inlineStr">
        <is>
          <t>Structured</t>
        </is>
      </c>
      <c r="F105" s="12" t="inlineStr">
        <is>
          <t>PASS</t>
        </is>
      </c>
      <c r="G105" t="inlineStr">
        <is>
          <t>BIM-core.DataCategory</t>
        </is>
      </c>
      <c r="H105" s="6" t="n"/>
    </row>
    <row r="106">
      <c r="A106" t="inlineStr">
        <is>
          <t>ACTIVITY_CATEGORY_TYPE</t>
        </is>
      </c>
      <c r="B106" t="inlineStr">
        <is>
          <t>Entity</t>
        </is>
      </c>
      <c r="C106" t="inlineStr">
        <is>
          <t>DataConfidentiality</t>
        </is>
      </c>
      <c r="D106" s="6" t="inlineStr">
        <is>
          <t>Internal</t>
        </is>
      </c>
      <c r="E106" s="6" t="inlineStr">
        <is>
          <t>Internal</t>
        </is>
      </c>
      <c r="F106" s="12" t="inlineStr">
        <is>
          <t>PASS</t>
        </is>
      </c>
      <c r="G106" t="inlineStr">
        <is>
          <t>BIM-core.DataConfidentiality</t>
        </is>
      </c>
      <c r="H106" s="6" t="n"/>
    </row>
    <row r="107">
      <c r="A107" t="inlineStr">
        <is>
          <t>ACTIVITY_CATEGORY_TYPE</t>
        </is>
      </c>
      <c r="B107" t="inlineStr">
        <is>
          <t>Entity</t>
        </is>
      </c>
      <c r="C107" t="inlineStr">
        <is>
          <t>DesignStatus</t>
        </is>
      </c>
      <c r="D107" s="6" t="inlineStr">
        <is>
          <t>Approved</t>
        </is>
      </c>
      <c r="E107" s="6" t="inlineStr">
        <is>
          <t>Approved</t>
        </is>
      </c>
      <c r="F107" s="12" t="inlineStr">
        <is>
          <t>PASS</t>
        </is>
      </c>
      <c r="G107" t="inlineStr">
        <is>
          <t>BIM-core.DesignStatus</t>
        </is>
      </c>
      <c r="H107" s="6" t="n"/>
    </row>
    <row r="108">
      <c r="A108" t="inlineStr">
        <is>
          <t>ACTIVITY_CATEGORY_TYPE</t>
        </is>
      </c>
      <c r="B108" t="inlineStr">
        <is>
          <t>Entity</t>
        </is>
      </c>
      <c r="C108" t="inlineStr">
        <is>
          <t>EntityCategory</t>
        </is>
      </c>
      <c r="D108" s="6" t="inlineStr">
        <is>
          <t>Master</t>
        </is>
      </c>
      <c r="E108" s="6" t="inlineStr">
        <is>
          <t>Master</t>
        </is>
      </c>
      <c r="F108" s="12" t="inlineStr">
        <is>
          <t>PASS</t>
        </is>
      </c>
      <c r="G108" t="inlineStr">
        <is>
          <t>BIM-core.EntityCategory</t>
        </is>
      </c>
      <c r="H108" s="6" t="n"/>
    </row>
    <row r="109">
      <c r="A109" t="inlineStr">
        <is>
          <t>ACTIVITY_CATEGORY_TYPE</t>
        </is>
      </c>
      <c r="B109" t="inlineStr">
        <is>
          <t>Entity</t>
        </is>
      </c>
      <c r="C109" t="inlineStr">
        <is>
          <t>EntityPersonalData</t>
        </is>
      </c>
      <c r="D109" s="6" t="inlineStr">
        <is>
          <t>No Personal Data</t>
        </is>
      </c>
      <c r="E109" s="6" t="inlineStr">
        <is>
          <t>No Personal Data</t>
        </is>
      </c>
      <c r="F109" s="12" t="inlineStr">
        <is>
          <t>PASS</t>
        </is>
      </c>
      <c r="G109" t="inlineStr">
        <is>
          <t>BIM-core.EntityPersonalData</t>
        </is>
      </c>
      <c r="H109" s="6" t="n"/>
    </row>
    <row r="110">
      <c r="A110" t="inlineStr">
        <is>
          <t>ACTIVITY_CATEGORY_TYPE</t>
        </is>
      </c>
      <c r="B110" t="inlineStr">
        <is>
          <t>Entity</t>
        </is>
      </c>
      <c r="C110" t="inlineStr">
        <is>
          <t>FinancialPersonalData</t>
        </is>
      </c>
      <c r="D110" s="6" t="inlineStr">
        <is>
          <t>No Financial Personal Data</t>
        </is>
      </c>
      <c r="E110" s="6" t="inlineStr">
        <is>
          <t>No Financial Personal Data</t>
        </is>
      </c>
      <c r="F110" s="12" t="inlineStr">
        <is>
          <t>PASS</t>
        </is>
      </c>
      <c r="G110" t="inlineStr">
        <is>
          <t>BIM-core.FinancialPersonalData</t>
        </is>
      </c>
      <c r="H110" s="6" t="n"/>
    </row>
    <row r="111">
      <c r="A111" t="inlineStr">
        <is>
          <t>ACTIVITY_CATEGORY_TYPE</t>
        </is>
      </c>
      <c r="B111" t="inlineStr">
        <is>
          <t>Entity</t>
        </is>
      </c>
      <c r="C111" t="inlineStr">
        <is>
          <t>MTED_Encryption_Required</t>
        </is>
      </c>
      <c r="D111" s="6" t="inlineStr">
        <is>
          <t>false</t>
        </is>
      </c>
      <c r="E111" s="6" t="inlineStr">
        <is>
          <t>false</t>
        </is>
      </c>
      <c r="F111" s="12" t="inlineStr">
        <is>
          <t>PASS</t>
        </is>
      </c>
      <c r="G111" t="inlineStr">
        <is>
          <t>SHL_LDM_EntityPropertyExtension.MTED_Encryption_Required</t>
        </is>
      </c>
      <c r="H111" s="6" t="n"/>
    </row>
    <row r="112">
      <c r="A112" t="inlineStr">
        <is>
          <t>ACTIVITY_CATEGORY_TYPE</t>
        </is>
      </c>
      <c r="B112" t="inlineStr">
        <is>
          <t>Entity</t>
        </is>
      </c>
      <c r="C112" t="inlineStr">
        <is>
          <t>MappingLevel</t>
        </is>
      </c>
      <c r="D112" s="6" t="inlineStr">
        <is>
          <t>BLM</t>
        </is>
      </c>
      <c r="E112" s="6" t="inlineStr">
        <is>
          <t>BLM</t>
        </is>
      </c>
      <c r="F112" s="12" t="inlineStr">
        <is>
          <t>PASS</t>
        </is>
      </c>
      <c r="G112" t="inlineStr">
        <is>
          <t>BIM-core.MappingLevel</t>
        </is>
      </c>
      <c r="H112" s="6" t="n"/>
    </row>
    <row r="113">
      <c r="A113" t="inlineStr">
        <is>
          <t>ACTIVITY_CATEGORY_TYPE</t>
        </is>
      </c>
      <c r="B113" t="inlineStr">
        <is>
          <t>Entity</t>
        </is>
      </c>
      <c r="C113" t="inlineStr">
        <is>
          <t>MapsToEntity</t>
        </is>
      </c>
      <c r="D113" s="6" t="inlineStr">
        <is>
          <t>EMISSION_ACTIVITY_CATEGORY_TYPE</t>
        </is>
      </c>
      <c r="E113" s="6" t="inlineStr">
        <is>
          <t>EMISSION_ACTIVITY_CATEGORY_TYPE</t>
        </is>
      </c>
      <c r="F113" s="12" t="inlineStr">
        <is>
          <t>PASS</t>
        </is>
      </c>
      <c r="G113" t="inlineStr">
        <is>
          <t>BIM-core.MapsToEntity</t>
        </is>
      </c>
      <c r="H113" s="6" t="n"/>
    </row>
    <row r="114">
      <c r="A114" t="inlineStr">
        <is>
          <t>ACTIVITY_CATEGORY_TYPE</t>
        </is>
      </c>
      <c r="B114" t="inlineStr">
        <is>
          <t>Entity</t>
        </is>
      </c>
      <c r="C114" t="inlineStr">
        <is>
          <t>PD_ObjectID</t>
        </is>
      </c>
      <c r="D114" s="6" t="inlineStr">
        <is>
          <t>09FB33DD-AE45-40CD-B524-8BADF0BC0043</t>
        </is>
      </c>
      <c r="E114" s="6" t="inlineStr">
        <is>
          <t>09FB33DD-AE45-40CD-B524-8BADF0BC0043</t>
        </is>
      </c>
      <c r="F114" s="12" t="inlineStr">
        <is>
          <t>PASS</t>
        </is>
      </c>
      <c r="H114" s="6" t="n"/>
    </row>
    <row r="115">
      <c r="A115" t="inlineStr">
        <is>
          <t>ACTIVITY_CATEGORY_TYPE</t>
        </is>
      </c>
      <c r="B115" t="inlineStr">
        <is>
          <t>Entity</t>
        </is>
      </c>
      <c r="C115" t="inlineStr">
        <is>
          <t>PD_SourceExtraction</t>
        </is>
      </c>
      <c r="D115" s="6" t="inlineStr">
        <is>
          <t>46603045</t>
        </is>
      </c>
      <c r="E115" s="6" t="inlineStr">
        <is>
          <t>46603045</t>
        </is>
      </c>
      <c r="F115" s="12" t="inlineStr">
        <is>
          <t>PASS</t>
        </is>
      </c>
      <c r="H115" s="6" t="n"/>
    </row>
    <row r="116">
      <c r="A116" t="inlineStr">
        <is>
          <t>ACTIVITY_CATEGORY_TYPE</t>
        </is>
      </c>
      <c r="B116" t="inlineStr">
        <is>
          <t>Entity</t>
        </is>
      </c>
      <c r="C116" t="inlineStr">
        <is>
          <t>PD_SourceModel</t>
        </is>
      </c>
      <c r="D116" s="6" t="inlineStr">
        <is>
          <t>05_Carbon_Calculator</t>
        </is>
      </c>
      <c r="E116" s="6" t="inlineStr">
        <is>
          <t>05_Carbon_Calculator</t>
        </is>
      </c>
      <c r="F116" s="12" t="inlineStr">
        <is>
          <t>PASS</t>
        </is>
      </c>
      <c r="H116" s="6" t="n"/>
    </row>
    <row r="117">
      <c r="A117" t="inlineStr">
        <is>
          <t>ACTIVITY_CATEGORY_TYPE</t>
        </is>
      </c>
      <c r="B117" t="inlineStr">
        <is>
          <t>Entity</t>
        </is>
      </c>
      <c r="C117" t="inlineStr">
        <is>
          <t>SensitivePersonalData</t>
        </is>
      </c>
      <c r="D117" s="6" t="inlineStr">
        <is>
          <t>No Sensitive Personal Data</t>
        </is>
      </c>
      <c r="E117" s="6" t="inlineStr">
        <is>
          <t>No Sensitive Personal Data</t>
        </is>
      </c>
      <c r="F117" s="12" t="inlineStr">
        <is>
          <t>PASS</t>
        </is>
      </c>
      <c r="G117" t="inlineStr">
        <is>
          <t>BIM-core.SensitivePersonalData</t>
        </is>
      </c>
      <c r="H117" s="6" t="n"/>
    </row>
    <row r="118">
      <c r="A118" t="inlineStr">
        <is>
          <t>ACTIVITY_CATEGORY_TYPE_DIMENSION</t>
        </is>
      </c>
      <c r="B118" t="inlineStr">
        <is>
          <t>Entity</t>
        </is>
      </c>
      <c r="C118" t="inlineStr">
        <is>
          <t>CSI</t>
        </is>
      </c>
      <c r="D118" s="6" t="inlineStr">
        <is>
          <t>false</t>
        </is>
      </c>
      <c r="E118" s="6" t="inlineStr">
        <is>
          <t>false</t>
        </is>
      </c>
      <c r="F118" s="12" t="inlineStr">
        <is>
          <t>PASS</t>
        </is>
      </c>
      <c r="G118" t="inlineStr">
        <is>
          <t>SHL_LDM_EntityPropertyExtension.CSI</t>
        </is>
      </c>
      <c r="H118" s="6" t="n"/>
    </row>
    <row r="119">
      <c r="A119" t="inlineStr">
        <is>
          <t>ACTIVITY_CATEGORY_TYPE_DIMENSION</t>
        </is>
      </c>
      <c r="B119" t="inlineStr">
        <is>
          <t>Entity</t>
        </is>
      </c>
      <c r="C119" t="inlineStr">
        <is>
          <t>CommerciallySensitiveInformation</t>
        </is>
      </c>
      <c r="D119" s="6" t="inlineStr">
        <is>
          <t>No Commercially Sensitive Information</t>
        </is>
      </c>
      <c r="E119" s="6" t="inlineStr">
        <is>
          <t>No Commercially Sensitive Information</t>
        </is>
      </c>
      <c r="F119" s="12" t="inlineStr">
        <is>
          <t>PASS</t>
        </is>
      </c>
      <c r="G119" t="inlineStr">
        <is>
          <t>BIM-core.CommerciallySensitiveInformation</t>
        </is>
      </c>
      <c r="H119" s="6" t="n"/>
    </row>
    <row r="120">
      <c r="A120" t="inlineStr">
        <is>
          <t>ACTIVITY_CATEGORY_TYPE_DIMENSION</t>
        </is>
      </c>
      <c r="B120" t="inlineStr">
        <is>
          <t>Entity</t>
        </is>
      </c>
      <c r="C120" t="inlineStr">
        <is>
          <t>Criticality</t>
        </is>
      </c>
      <c r="D120" s="6" t="inlineStr">
        <is>
          <t>No Critical Data</t>
        </is>
      </c>
      <c r="E120" s="6" t="inlineStr">
        <is>
          <t>No Critical Data</t>
        </is>
      </c>
      <c r="F120" s="12" t="inlineStr">
        <is>
          <t>PASS</t>
        </is>
      </c>
      <c r="G120" t="inlineStr">
        <is>
          <t>BIM-core.Criticality</t>
        </is>
      </c>
      <c r="H120" s="6" t="n"/>
    </row>
    <row r="121">
      <c r="A121" t="inlineStr">
        <is>
          <t>ACTIVITY_CATEGORY_TYPE_DIMENSION</t>
        </is>
      </c>
      <c r="B121" t="inlineStr">
        <is>
          <t>Entity</t>
        </is>
      </c>
      <c r="C121" t="inlineStr">
        <is>
          <t>DataCategory</t>
        </is>
      </c>
      <c r="D121" s="6" t="inlineStr">
        <is>
          <t>Structured</t>
        </is>
      </c>
      <c r="E121" s="6" t="inlineStr">
        <is>
          <t>Structured</t>
        </is>
      </c>
      <c r="F121" s="12" t="inlineStr">
        <is>
          <t>PASS</t>
        </is>
      </c>
      <c r="G121" t="inlineStr">
        <is>
          <t>BIM-core.DataCategory</t>
        </is>
      </c>
      <c r="H121" s="6" t="n"/>
    </row>
    <row r="122">
      <c r="A122" t="inlineStr">
        <is>
          <t>ACTIVITY_CATEGORY_TYPE_DIMENSION</t>
        </is>
      </c>
      <c r="B122" t="inlineStr">
        <is>
          <t>Entity</t>
        </is>
      </c>
      <c r="C122" t="inlineStr">
        <is>
          <t>DataConfidentiality</t>
        </is>
      </c>
      <c r="D122" s="6" t="inlineStr">
        <is>
          <t>Internal</t>
        </is>
      </c>
      <c r="E122" s="6" t="inlineStr">
        <is>
          <t>Internal</t>
        </is>
      </c>
      <c r="F122" s="12" t="inlineStr">
        <is>
          <t>PASS</t>
        </is>
      </c>
      <c r="G122" t="inlineStr">
        <is>
          <t>BIM-core.DataConfidentiality</t>
        </is>
      </c>
      <c r="H122" s="6" t="n"/>
    </row>
    <row r="123">
      <c r="A123" t="inlineStr">
        <is>
          <t>ACTIVITY_CATEGORY_TYPE_DIMENSION</t>
        </is>
      </c>
      <c r="B123" t="inlineStr">
        <is>
          <t>Entity</t>
        </is>
      </c>
      <c r="C123" t="inlineStr">
        <is>
          <t>DesignStatus</t>
        </is>
      </c>
      <c r="D123" s="6" t="inlineStr">
        <is>
          <t>Approved</t>
        </is>
      </c>
      <c r="E123" s="6" t="inlineStr">
        <is>
          <t>Approved</t>
        </is>
      </c>
      <c r="F123" s="12" t="inlineStr">
        <is>
          <t>PASS</t>
        </is>
      </c>
      <c r="G123" t="inlineStr">
        <is>
          <t>BIM-core.DesignStatus</t>
        </is>
      </c>
      <c r="H123" s="6" t="n"/>
    </row>
    <row r="124">
      <c r="A124" t="inlineStr">
        <is>
          <t>ACTIVITY_CATEGORY_TYPE_DIMENSION</t>
        </is>
      </c>
      <c r="B124" t="inlineStr">
        <is>
          <t>Entity</t>
        </is>
      </c>
      <c r="C124" t="inlineStr">
        <is>
          <t>EntityCategory</t>
        </is>
      </c>
      <c r="D124" s="6" t="inlineStr">
        <is>
          <t>Master</t>
        </is>
      </c>
      <c r="E124" s="6" t="inlineStr">
        <is>
          <t>Master</t>
        </is>
      </c>
      <c r="F124" s="12" t="inlineStr">
        <is>
          <t>PASS</t>
        </is>
      </c>
      <c r="G124" t="inlineStr">
        <is>
          <t>BIM-core.EntityCategory</t>
        </is>
      </c>
      <c r="H124" s="6" t="n"/>
    </row>
    <row r="125">
      <c r="A125" t="inlineStr">
        <is>
          <t>ACTIVITY_CATEGORY_TYPE_DIMENSION</t>
        </is>
      </c>
      <c r="B125" t="inlineStr">
        <is>
          <t>Entity</t>
        </is>
      </c>
      <c r="C125" t="inlineStr">
        <is>
          <t>EntityPersonalData</t>
        </is>
      </c>
      <c r="D125" s="6" t="inlineStr">
        <is>
          <t>No Personal Data</t>
        </is>
      </c>
      <c r="E125" s="6" t="inlineStr">
        <is>
          <t>No Personal Data</t>
        </is>
      </c>
      <c r="F125" s="12" t="inlineStr">
        <is>
          <t>PASS</t>
        </is>
      </c>
      <c r="G125" t="inlineStr">
        <is>
          <t>BIM-core.EntityPersonalData</t>
        </is>
      </c>
      <c r="H125" s="6" t="n"/>
    </row>
    <row r="126">
      <c r="A126" t="inlineStr">
        <is>
          <t>ACTIVITY_CATEGORY_TYPE_DIMENSION</t>
        </is>
      </c>
      <c r="B126" t="inlineStr">
        <is>
          <t>Entity</t>
        </is>
      </c>
      <c r="C126" t="inlineStr">
        <is>
          <t>FinancialPersonalData</t>
        </is>
      </c>
      <c r="D126" s="6" t="inlineStr">
        <is>
          <t>No Financial Personal Data</t>
        </is>
      </c>
      <c r="E126" s="6" t="inlineStr">
        <is>
          <t>No Financial Personal Data</t>
        </is>
      </c>
      <c r="F126" s="12" t="inlineStr">
        <is>
          <t>PASS</t>
        </is>
      </c>
      <c r="G126" t="inlineStr">
        <is>
          <t>BIM-core.FinancialPersonalData</t>
        </is>
      </c>
      <c r="H126" s="6" t="n"/>
    </row>
    <row r="127">
      <c r="A127" t="inlineStr">
        <is>
          <t>ACTIVITY_CATEGORY_TYPE_DIMENSION</t>
        </is>
      </c>
      <c r="B127" t="inlineStr">
        <is>
          <t>Entity</t>
        </is>
      </c>
      <c r="C127" t="inlineStr">
        <is>
          <t>MTED_Encryption_Required</t>
        </is>
      </c>
      <c r="D127" s="6" t="inlineStr">
        <is>
          <t>false</t>
        </is>
      </c>
      <c r="E127" s="6" t="inlineStr">
        <is>
          <t>false</t>
        </is>
      </c>
      <c r="F127" s="12" t="inlineStr">
        <is>
          <t>PASS</t>
        </is>
      </c>
      <c r="G127" t="inlineStr">
        <is>
          <t>SHL_LDM_EntityPropertyExtension.MTED_Encryption_Required</t>
        </is>
      </c>
      <c r="H127" s="6" t="n"/>
    </row>
    <row r="128">
      <c r="A128" t="inlineStr">
        <is>
          <t>ACTIVITY_CATEGORY_TYPE_DIMENSION</t>
        </is>
      </c>
      <c r="B128" t="inlineStr">
        <is>
          <t>Entity</t>
        </is>
      </c>
      <c r="C128" t="inlineStr">
        <is>
          <t>MappingLevel</t>
        </is>
      </c>
      <c r="D128" s="6" t="inlineStr">
        <is>
          <t>BLM</t>
        </is>
      </c>
      <c r="E128" s="6" t="inlineStr">
        <is>
          <t>BLM</t>
        </is>
      </c>
      <c r="F128" s="12" t="inlineStr">
        <is>
          <t>PASS</t>
        </is>
      </c>
      <c r="G128" t="inlineStr">
        <is>
          <t>BIM-core.MappingLevel</t>
        </is>
      </c>
      <c r="H128" s="6" t="n"/>
    </row>
    <row r="129">
      <c r="A129" t="inlineStr">
        <is>
          <t>ACTIVITY_CATEGORY_TYPE_DIMENSION</t>
        </is>
      </c>
      <c r="B129" t="inlineStr">
        <is>
          <t>Entity</t>
        </is>
      </c>
      <c r="C129" t="inlineStr">
        <is>
          <t>MapsToEntity</t>
        </is>
      </c>
      <c r="D129" s="6" t="inlineStr">
        <is>
          <t>EMISSION_CATEGORY_TYPE_DIMENSION_VALUE</t>
        </is>
      </c>
      <c r="E129" s="6" t="inlineStr">
        <is>
          <t>EMISSION_CATEGORY_TYPE_DIMENSION_VALUE</t>
        </is>
      </c>
      <c r="F129" s="12" t="inlineStr">
        <is>
          <t>PASS</t>
        </is>
      </c>
      <c r="G129" t="inlineStr">
        <is>
          <t>BIM-core.MapsToEntity</t>
        </is>
      </c>
      <c r="H129" s="6" t="n"/>
    </row>
    <row r="130">
      <c r="A130" t="inlineStr">
        <is>
          <t>ACTIVITY_CATEGORY_TYPE_DIMENSION</t>
        </is>
      </c>
      <c r="B130" t="inlineStr">
        <is>
          <t>Entity</t>
        </is>
      </c>
      <c r="C130" t="inlineStr">
        <is>
          <t>PD_ObjectID</t>
        </is>
      </c>
      <c r="D130" s="6" t="inlineStr">
        <is>
          <t>87E32491-1CA3-4250-B489-CACE449635B4</t>
        </is>
      </c>
      <c r="E130" s="6" t="inlineStr">
        <is>
          <t>87E32491-1CA3-4250-B489-CACE449635B4</t>
        </is>
      </c>
      <c r="F130" s="12" t="inlineStr">
        <is>
          <t>PASS</t>
        </is>
      </c>
      <c r="H130" s="6" t="n"/>
    </row>
    <row r="131">
      <c r="A131" t="inlineStr">
        <is>
          <t>ACTIVITY_CATEGORY_TYPE_DIMENSION</t>
        </is>
      </c>
      <c r="B131" t="inlineStr">
        <is>
          <t>Entity</t>
        </is>
      </c>
      <c r="C131" t="inlineStr">
        <is>
          <t>PD_SourceExtraction</t>
        </is>
      </c>
      <c r="D131" s="6" t="inlineStr">
        <is>
          <t>46603045</t>
        </is>
      </c>
      <c r="E131" s="6" t="inlineStr">
        <is>
          <t>46603045</t>
        </is>
      </c>
      <c r="F131" s="12" t="inlineStr">
        <is>
          <t>PASS</t>
        </is>
      </c>
      <c r="H131" s="6" t="n"/>
    </row>
    <row r="132">
      <c r="A132" t="inlineStr">
        <is>
          <t>ACTIVITY_CATEGORY_TYPE_DIMENSION</t>
        </is>
      </c>
      <c r="B132" t="inlineStr">
        <is>
          <t>Entity</t>
        </is>
      </c>
      <c r="C132" t="inlineStr">
        <is>
          <t>PD_SourceModel</t>
        </is>
      </c>
      <c r="D132" s="6" t="inlineStr">
        <is>
          <t>05_Carbon_Calculator</t>
        </is>
      </c>
      <c r="E132" s="6" t="inlineStr">
        <is>
          <t>05_Carbon_Calculator</t>
        </is>
      </c>
      <c r="F132" s="12" t="inlineStr">
        <is>
          <t>PASS</t>
        </is>
      </c>
      <c r="H132" s="6" t="n"/>
    </row>
    <row r="133">
      <c r="A133" t="inlineStr">
        <is>
          <t>ACTIVITY_CATEGORY_TYPE_DIMENSION</t>
        </is>
      </c>
      <c r="B133" t="inlineStr">
        <is>
          <t>Entity</t>
        </is>
      </c>
      <c r="C133" t="inlineStr">
        <is>
          <t>SensitivePersonalData</t>
        </is>
      </c>
      <c r="D133" s="6" t="inlineStr">
        <is>
          <t>No Sensitive Personal Data</t>
        </is>
      </c>
      <c r="E133" s="6" t="inlineStr">
        <is>
          <t>No Sensitive Personal Data</t>
        </is>
      </c>
      <c r="F133" s="12" t="inlineStr">
        <is>
          <t>PASS</t>
        </is>
      </c>
      <c r="G133" t="inlineStr">
        <is>
          <t>BIM-core.SensitivePersonalData</t>
        </is>
      </c>
      <c r="H133" s="6" t="n"/>
    </row>
    <row r="134">
      <c r="A134" t="inlineStr">
        <is>
          <t>ACTIVITY_TYPE_PARAMETER</t>
        </is>
      </c>
      <c r="B134" t="inlineStr">
        <is>
          <t>Entity</t>
        </is>
      </c>
      <c r="C134" t="inlineStr">
        <is>
          <t>CSI</t>
        </is>
      </c>
      <c r="D134" s="6" t="inlineStr">
        <is>
          <t>false</t>
        </is>
      </c>
      <c r="E134" s="6" t="inlineStr">
        <is>
          <t>false</t>
        </is>
      </c>
      <c r="F134" s="12" t="inlineStr">
        <is>
          <t>PASS</t>
        </is>
      </c>
      <c r="G134" t="inlineStr">
        <is>
          <t>SHL_LDM_EntityPropertyExtension.CSI</t>
        </is>
      </c>
      <c r="H134" s="6" t="n"/>
    </row>
    <row r="135">
      <c r="A135" t="inlineStr">
        <is>
          <t>ACTIVITY_TYPE_PARAMETER</t>
        </is>
      </c>
      <c r="B135" t="inlineStr">
        <is>
          <t>Entity</t>
        </is>
      </c>
      <c r="C135" t="inlineStr">
        <is>
          <t>CommerciallySensitiveInformation</t>
        </is>
      </c>
      <c r="D135" s="6" t="inlineStr">
        <is>
          <t>No Commercially Sensitive Information</t>
        </is>
      </c>
      <c r="E135" s="6" t="inlineStr">
        <is>
          <t>No Commercially Sensitive Information</t>
        </is>
      </c>
      <c r="F135" s="12" t="inlineStr">
        <is>
          <t>PASS</t>
        </is>
      </c>
      <c r="G135" t="inlineStr">
        <is>
          <t>BIM-core.CommerciallySensitiveInformation</t>
        </is>
      </c>
      <c r="H135" s="6" t="n"/>
    </row>
    <row r="136">
      <c r="A136" t="inlineStr">
        <is>
          <t>ACTIVITY_TYPE_PARAMETER</t>
        </is>
      </c>
      <c r="B136" t="inlineStr">
        <is>
          <t>Entity</t>
        </is>
      </c>
      <c r="C136" t="inlineStr">
        <is>
          <t>Criticality</t>
        </is>
      </c>
      <c r="D136" s="6" t="inlineStr">
        <is>
          <t>No Critical Data</t>
        </is>
      </c>
      <c r="E136" s="6" t="inlineStr">
        <is>
          <t>No Critical Data</t>
        </is>
      </c>
      <c r="F136" s="12" t="inlineStr">
        <is>
          <t>PASS</t>
        </is>
      </c>
      <c r="G136" t="inlineStr">
        <is>
          <t>BIM-core.Criticality</t>
        </is>
      </c>
      <c r="H136" s="6" t="n"/>
    </row>
    <row r="137">
      <c r="A137" t="inlineStr">
        <is>
          <t>ACTIVITY_TYPE_PARAMETER</t>
        </is>
      </c>
      <c r="B137" t="inlineStr">
        <is>
          <t>Entity</t>
        </is>
      </c>
      <c r="C137" t="inlineStr">
        <is>
          <t>DataCategory</t>
        </is>
      </c>
      <c r="D137" s="6" t="inlineStr">
        <is>
          <t>Structured</t>
        </is>
      </c>
      <c r="E137" s="6" t="inlineStr">
        <is>
          <t>Structured</t>
        </is>
      </c>
      <c r="F137" s="12" t="inlineStr">
        <is>
          <t>PASS</t>
        </is>
      </c>
      <c r="G137" t="inlineStr">
        <is>
          <t>BIM-core.DataCategory</t>
        </is>
      </c>
      <c r="H137" s="6" t="n"/>
    </row>
    <row r="138">
      <c r="A138" t="inlineStr">
        <is>
          <t>ACTIVITY_TYPE_PARAMETER</t>
        </is>
      </c>
      <c r="B138" t="inlineStr">
        <is>
          <t>Entity</t>
        </is>
      </c>
      <c r="C138" t="inlineStr">
        <is>
          <t>DataConfidentiality</t>
        </is>
      </c>
      <c r="D138" s="6" t="inlineStr">
        <is>
          <t>Internal</t>
        </is>
      </c>
      <c r="E138" s="6" t="inlineStr">
        <is>
          <t>Internal</t>
        </is>
      </c>
      <c r="F138" s="12" t="inlineStr">
        <is>
          <t>PASS</t>
        </is>
      </c>
      <c r="G138" t="inlineStr">
        <is>
          <t>BIM-core.DataConfidentiality</t>
        </is>
      </c>
      <c r="H138" s="6" t="n"/>
    </row>
    <row r="139">
      <c r="A139" t="inlineStr">
        <is>
          <t>ACTIVITY_TYPE_PARAMETER</t>
        </is>
      </c>
      <c r="B139" t="inlineStr">
        <is>
          <t>Entity</t>
        </is>
      </c>
      <c r="C139" t="inlineStr">
        <is>
          <t>DesignStatus</t>
        </is>
      </c>
      <c r="D139" s="6" t="inlineStr">
        <is>
          <t>Approved</t>
        </is>
      </c>
      <c r="E139" s="6" t="inlineStr">
        <is>
          <t>Approved</t>
        </is>
      </c>
      <c r="F139" s="12" t="inlineStr">
        <is>
          <t>PASS</t>
        </is>
      </c>
      <c r="G139" t="inlineStr">
        <is>
          <t>BIM-core.DesignStatus</t>
        </is>
      </c>
      <c r="H139" s="6" t="n"/>
    </row>
    <row r="140">
      <c r="A140" t="inlineStr">
        <is>
          <t>ACTIVITY_TYPE_PARAMETER</t>
        </is>
      </c>
      <c r="B140" t="inlineStr">
        <is>
          <t>Entity</t>
        </is>
      </c>
      <c r="C140" t="inlineStr">
        <is>
          <t>EntityCategory</t>
        </is>
      </c>
      <c r="D140" s="6" t="inlineStr">
        <is>
          <t>Master</t>
        </is>
      </c>
      <c r="E140" s="6" t="inlineStr">
        <is>
          <t>Master</t>
        </is>
      </c>
      <c r="F140" s="12" t="inlineStr">
        <is>
          <t>PASS</t>
        </is>
      </c>
      <c r="G140" t="inlineStr">
        <is>
          <t>BIM-core.EntityCategory</t>
        </is>
      </c>
      <c r="H140" s="6" t="n"/>
    </row>
    <row r="141">
      <c r="A141" t="inlineStr">
        <is>
          <t>ACTIVITY_TYPE_PARAMETER</t>
        </is>
      </c>
      <c r="B141" t="inlineStr">
        <is>
          <t>Entity</t>
        </is>
      </c>
      <c r="C141" t="inlineStr">
        <is>
          <t>EntityPersonalData</t>
        </is>
      </c>
      <c r="D141" s="6" t="inlineStr">
        <is>
          <t>No Personal Data</t>
        </is>
      </c>
      <c r="E141" s="6" t="inlineStr">
        <is>
          <t>No Personal Data</t>
        </is>
      </c>
      <c r="F141" s="12" t="inlineStr">
        <is>
          <t>PASS</t>
        </is>
      </c>
      <c r="G141" t="inlineStr">
        <is>
          <t>BIM-core.EntityPersonalData</t>
        </is>
      </c>
      <c r="H141" s="6" t="n"/>
    </row>
    <row r="142">
      <c r="A142" t="inlineStr">
        <is>
          <t>ACTIVITY_TYPE_PARAMETER</t>
        </is>
      </c>
      <c r="B142" t="inlineStr">
        <is>
          <t>Entity</t>
        </is>
      </c>
      <c r="C142" t="inlineStr">
        <is>
          <t>FinancialPersonalData</t>
        </is>
      </c>
      <c r="D142" s="6" t="inlineStr">
        <is>
          <t>No Financial Personal Data</t>
        </is>
      </c>
      <c r="E142" s="6" t="inlineStr">
        <is>
          <t>No Financial Personal Data</t>
        </is>
      </c>
      <c r="F142" s="12" t="inlineStr">
        <is>
          <t>PASS</t>
        </is>
      </c>
      <c r="G142" t="inlineStr">
        <is>
          <t>BIM-core.FinancialPersonalData</t>
        </is>
      </c>
      <c r="H142" s="6" t="n"/>
    </row>
    <row r="143">
      <c r="A143" t="inlineStr">
        <is>
          <t>ACTIVITY_TYPE_PARAMETER</t>
        </is>
      </c>
      <c r="B143" t="inlineStr">
        <is>
          <t>Entity</t>
        </is>
      </c>
      <c r="C143" t="inlineStr">
        <is>
          <t>MTED_Encryption_Required</t>
        </is>
      </c>
      <c r="D143" s="6" t="inlineStr">
        <is>
          <t>false</t>
        </is>
      </c>
      <c r="E143" s="6" t="inlineStr">
        <is>
          <t>false</t>
        </is>
      </c>
      <c r="F143" s="12" t="inlineStr">
        <is>
          <t>PASS</t>
        </is>
      </c>
      <c r="G143" t="inlineStr">
        <is>
          <t>SHL_LDM_EntityPropertyExtension.MTED_Encryption_Required</t>
        </is>
      </c>
      <c r="H143" s="6" t="n"/>
    </row>
    <row r="144">
      <c r="A144" t="inlineStr">
        <is>
          <t>ACTIVITY_TYPE_PARAMETER</t>
        </is>
      </c>
      <c r="B144" t="inlineStr">
        <is>
          <t>Entity</t>
        </is>
      </c>
      <c r="C144" t="inlineStr">
        <is>
          <t>MappingLevel</t>
        </is>
      </c>
      <c r="D144" s="6" t="inlineStr">
        <is>
          <t>BLM</t>
        </is>
      </c>
      <c r="E144" s="6" t="inlineStr">
        <is>
          <t>BLM</t>
        </is>
      </c>
      <c r="F144" s="12" t="inlineStr">
        <is>
          <t>PASS</t>
        </is>
      </c>
      <c r="G144" t="inlineStr">
        <is>
          <t>BIM-core.MappingLevel</t>
        </is>
      </c>
      <c r="H144" s="6" t="n"/>
    </row>
    <row r="145">
      <c r="A145" t="inlineStr">
        <is>
          <t>ACTIVITY_TYPE_PARAMETER</t>
        </is>
      </c>
      <c r="B145" t="inlineStr">
        <is>
          <t>Entity</t>
        </is>
      </c>
      <c r="C145" t="inlineStr">
        <is>
          <t>MapsToEntity</t>
        </is>
      </c>
      <c r="D145" s="6" t="inlineStr">
        <is>
          <t>EMISSION_ACTIVITY_TYPE_PARAMETER</t>
        </is>
      </c>
      <c r="E145" s="6" t="inlineStr">
        <is>
          <t>EMISSION_ACTIVITY_TYPE_PARAMETER</t>
        </is>
      </c>
      <c r="F145" s="12" t="inlineStr">
        <is>
          <t>PASS</t>
        </is>
      </c>
      <c r="G145" t="inlineStr">
        <is>
          <t>BIM-core.MapsToEntity</t>
        </is>
      </c>
      <c r="H145" s="6" t="n"/>
    </row>
    <row r="146">
      <c r="A146" t="inlineStr">
        <is>
          <t>ACTIVITY_TYPE_PARAMETER</t>
        </is>
      </c>
      <c r="B146" t="inlineStr">
        <is>
          <t>Entity</t>
        </is>
      </c>
      <c r="C146" t="inlineStr">
        <is>
          <t>PD_ObjectID</t>
        </is>
      </c>
      <c r="D146" s="6" t="inlineStr">
        <is>
          <t>26098CC6-016D-4411-920B-B9AB34B72A70</t>
        </is>
      </c>
      <c r="E146" s="6" t="inlineStr">
        <is>
          <t>26098CC6-016D-4411-920B-B9AB34B72A70</t>
        </is>
      </c>
      <c r="F146" s="12" t="inlineStr">
        <is>
          <t>PASS</t>
        </is>
      </c>
      <c r="H146" s="6" t="n"/>
    </row>
    <row r="147">
      <c r="A147" t="inlineStr">
        <is>
          <t>ACTIVITY_TYPE_PARAMETER</t>
        </is>
      </c>
      <c r="B147" t="inlineStr">
        <is>
          <t>Entity</t>
        </is>
      </c>
      <c r="C147" t="inlineStr">
        <is>
          <t>PD_SourceExtraction</t>
        </is>
      </c>
      <c r="D147" s="6" t="inlineStr">
        <is>
          <t>46603045</t>
        </is>
      </c>
      <c r="E147" s="6" t="inlineStr">
        <is>
          <t>46603045</t>
        </is>
      </c>
      <c r="F147" s="12" t="inlineStr">
        <is>
          <t>PASS</t>
        </is>
      </c>
      <c r="H147" s="6" t="n"/>
    </row>
    <row r="148">
      <c r="A148" t="inlineStr">
        <is>
          <t>ACTIVITY_TYPE_PARAMETER</t>
        </is>
      </c>
      <c r="B148" t="inlineStr">
        <is>
          <t>Entity</t>
        </is>
      </c>
      <c r="C148" t="inlineStr">
        <is>
          <t>PD_SourceModel</t>
        </is>
      </c>
      <c r="D148" s="6" t="inlineStr">
        <is>
          <t>05_Carbon_Calculator</t>
        </is>
      </c>
      <c r="E148" s="6" t="inlineStr">
        <is>
          <t>05_Carbon_Calculator</t>
        </is>
      </c>
      <c r="F148" s="12" t="inlineStr">
        <is>
          <t>PASS</t>
        </is>
      </c>
      <c r="H148" s="6" t="n"/>
    </row>
    <row r="149">
      <c r="A149" t="inlineStr">
        <is>
          <t>ACTIVITY_TYPE_PARAMETER</t>
        </is>
      </c>
      <c r="B149" t="inlineStr">
        <is>
          <t>Entity</t>
        </is>
      </c>
      <c r="C149" t="inlineStr">
        <is>
          <t>SensitivePersonalData</t>
        </is>
      </c>
      <c r="D149" s="6" t="inlineStr">
        <is>
          <t>No Sensitive Personal Data</t>
        </is>
      </c>
      <c r="E149" s="6" t="inlineStr">
        <is>
          <t>No Sensitive Personal Data</t>
        </is>
      </c>
      <c r="F149" s="12" t="inlineStr">
        <is>
          <t>PASS</t>
        </is>
      </c>
      <c r="G149" t="inlineStr">
        <is>
          <t>BIM-core.SensitivePersonalData</t>
        </is>
      </c>
      <c r="H149" s="6" t="n"/>
    </row>
    <row r="150">
      <c r="A150" t="inlineStr">
        <is>
          <t>ACTIVITY_TYPE_PARAMETER_FACTOR</t>
        </is>
      </c>
      <c r="B150" t="inlineStr">
        <is>
          <t>Entity</t>
        </is>
      </c>
      <c r="C150" t="inlineStr">
        <is>
          <t>CSI</t>
        </is>
      </c>
      <c r="D150" s="6" t="inlineStr">
        <is>
          <t>false</t>
        </is>
      </c>
      <c r="E150" s="6" t="inlineStr">
        <is>
          <t>false</t>
        </is>
      </c>
      <c r="F150" s="12" t="inlineStr">
        <is>
          <t>PASS</t>
        </is>
      </c>
      <c r="G150" t="inlineStr">
        <is>
          <t>SHL_LDM_EntityPropertyExtension.CSI</t>
        </is>
      </c>
      <c r="H150" s="6" t="n"/>
    </row>
    <row r="151">
      <c r="A151" t="inlineStr">
        <is>
          <t>ACTIVITY_TYPE_PARAMETER_FACTOR</t>
        </is>
      </c>
      <c r="B151" t="inlineStr">
        <is>
          <t>Entity</t>
        </is>
      </c>
      <c r="C151" t="inlineStr">
        <is>
          <t>CommerciallySensitiveInformation</t>
        </is>
      </c>
      <c r="D151" s="6" t="inlineStr">
        <is>
          <t>No Commercially Sensitive Information</t>
        </is>
      </c>
      <c r="E151" s="6" t="inlineStr">
        <is>
          <t>No Commercially Sensitive Information</t>
        </is>
      </c>
      <c r="F151" s="12" t="inlineStr">
        <is>
          <t>PASS</t>
        </is>
      </c>
      <c r="G151" t="inlineStr">
        <is>
          <t>BIM-core.CommerciallySensitiveInformation</t>
        </is>
      </c>
      <c r="H151" s="6" t="n"/>
    </row>
    <row r="152">
      <c r="A152" t="inlineStr">
        <is>
          <t>ACTIVITY_TYPE_PARAMETER_FACTOR</t>
        </is>
      </c>
      <c r="B152" t="inlineStr">
        <is>
          <t>Entity</t>
        </is>
      </c>
      <c r="C152" t="inlineStr">
        <is>
          <t>Criticality</t>
        </is>
      </c>
      <c r="D152" s="6" t="inlineStr">
        <is>
          <t>No Critical Data</t>
        </is>
      </c>
      <c r="E152" s="6" t="inlineStr">
        <is>
          <t>No Critical Data</t>
        </is>
      </c>
      <c r="F152" s="12" t="inlineStr">
        <is>
          <t>PASS</t>
        </is>
      </c>
      <c r="G152" t="inlineStr">
        <is>
          <t>BIM-core.Criticality</t>
        </is>
      </c>
      <c r="H152" s="6" t="n"/>
    </row>
    <row r="153">
      <c r="A153" t="inlineStr">
        <is>
          <t>ACTIVITY_TYPE_PARAMETER_FACTOR</t>
        </is>
      </c>
      <c r="B153" t="inlineStr">
        <is>
          <t>Entity</t>
        </is>
      </c>
      <c r="C153" t="inlineStr">
        <is>
          <t>DataCategory</t>
        </is>
      </c>
      <c r="D153" s="6" t="inlineStr">
        <is>
          <t>Structured</t>
        </is>
      </c>
      <c r="E153" s="6" t="inlineStr">
        <is>
          <t>Structured</t>
        </is>
      </c>
      <c r="F153" s="12" t="inlineStr">
        <is>
          <t>PASS</t>
        </is>
      </c>
      <c r="G153" t="inlineStr">
        <is>
          <t>BIM-core.DataCategory</t>
        </is>
      </c>
      <c r="H153" s="6" t="n"/>
    </row>
    <row r="154">
      <c r="A154" t="inlineStr">
        <is>
          <t>ACTIVITY_TYPE_PARAMETER_FACTOR</t>
        </is>
      </c>
      <c r="B154" t="inlineStr">
        <is>
          <t>Entity</t>
        </is>
      </c>
      <c r="C154" t="inlineStr">
        <is>
          <t>DataConfidentiality</t>
        </is>
      </c>
      <c r="D154" s="6" t="inlineStr">
        <is>
          <t>Confidential</t>
        </is>
      </c>
      <c r="E154" s="6" t="inlineStr">
        <is>
          <t>Confidential</t>
        </is>
      </c>
      <c r="F154" s="12" t="inlineStr">
        <is>
          <t>PASS</t>
        </is>
      </c>
      <c r="G154" t="inlineStr">
        <is>
          <t>BIM-core.DataConfidentiality</t>
        </is>
      </c>
      <c r="H154" s="6" t="n"/>
    </row>
    <row r="155">
      <c r="A155" t="inlineStr">
        <is>
          <t>ACTIVITY_TYPE_PARAMETER_FACTOR</t>
        </is>
      </c>
      <c r="B155" t="inlineStr">
        <is>
          <t>Entity</t>
        </is>
      </c>
      <c r="C155" t="inlineStr">
        <is>
          <t>DesignStatus</t>
        </is>
      </c>
      <c r="D155" s="6" t="inlineStr">
        <is>
          <t>Approved</t>
        </is>
      </c>
      <c r="E155" s="6" t="inlineStr">
        <is>
          <t>Approved</t>
        </is>
      </c>
      <c r="F155" s="12" t="inlineStr">
        <is>
          <t>PASS</t>
        </is>
      </c>
      <c r="G155" t="inlineStr">
        <is>
          <t>BIM-core.DesignStatus</t>
        </is>
      </c>
      <c r="H155" s="6" t="n"/>
    </row>
    <row r="156">
      <c r="A156" t="inlineStr">
        <is>
          <t>ACTIVITY_TYPE_PARAMETER_FACTOR</t>
        </is>
      </c>
      <c r="B156" t="inlineStr">
        <is>
          <t>Entity</t>
        </is>
      </c>
      <c r="C156" t="inlineStr">
        <is>
          <t>EntityCategory</t>
        </is>
      </c>
      <c r="D156" s="6" t="inlineStr">
        <is>
          <t>Master</t>
        </is>
      </c>
      <c r="E156" s="6" t="inlineStr">
        <is>
          <t>Master</t>
        </is>
      </c>
      <c r="F156" s="12" t="inlineStr">
        <is>
          <t>PASS</t>
        </is>
      </c>
      <c r="G156" t="inlineStr">
        <is>
          <t>BIM-core.EntityCategory</t>
        </is>
      </c>
      <c r="H156" s="6" t="n"/>
    </row>
    <row r="157">
      <c r="A157" t="inlineStr">
        <is>
          <t>ACTIVITY_TYPE_PARAMETER_FACTOR</t>
        </is>
      </c>
      <c r="B157" t="inlineStr">
        <is>
          <t>Entity</t>
        </is>
      </c>
      <c r="C157" t="inlineStr">
        <is>
          <t>EntityPersonalData</t>
        </is>
      </c>
      <c r="D157" s="6" t="inlineStr">
        <is>
          <t>No Personal Data</t>
        </is>
      </c>
      <c r="E157" s="6" t="inlineStr">
        <is>
          <t>No Personal Data</t>
        </is>
      </c>
      <c r="F157" s="12" t="inlineStr">
        <is>
          <t>PASS</t>
        </is>
      </c>
      <c r="G157" t="inlineStr">
        <is>
          <t>BIM-core.EntityPersonalData</t>
        </is>
      </c>
      <c r="H157" s="6" t="n"/>
    </row>
    <row r="158">
      <c r="A158" t="inlineStr">
        <is>
          <t>ACTIVITY_TYPE_PARAMETER_FACTOR</t>
        </is>
      </c>
      <c r="B158" t="inlineStr">
        <is>
          <t>Entity</t>
        </is>
      </c>
      <c r="C158" t="inlineStr">
        <is>
          <t>FinancialPersonalData</t>
        </is>
      </c>
      <c r="D158" s="6" t="inlineStr">
        <is>
          <t>No Financial Personal Data</t>
        </is>
      </c>
      <c r="E158" s="6" t="inlineStr">
        <is>
          <t>No Financial Personal Data</t>
        </is>
      </c>
      <c r="F158" s="12" t="inlineStr">
        <is>
          <t>PASS</t>
        </is>
      </c>
      <c r="G158" t="inlineStr">
        <is>
          <t>BIM-core.FinancialPersonalData</t>
        </is>
      </c>
      <c r="H158" s="6" t="n"/>
    </row>
    <row r="159">
      <c r="A159" t="inlineStr">
        <is>
          <t>ACTIVITY_TYPE_PARAMETER_FACTOR</t>
        </is>
      </c>
      <c r="B159" t="inlineStr">
        <is>
          <t>Entity</t>
        </is>
      </c>
      <c r="C159" t="inlineStr">
        <is>
          <t>MTED_Encryption_Required</t>
        </is>
      </c>
      <c r="D159" s="6" t="inlineStr">
        <is>
          <t>false</t>
        </is>
      </c>
      <c r="E159" s="6" t="inlineStr">
        <is>
          <t>false</t>
        </is>
      </c>
      <c r="F159" s="12" t="inlineStr">
        <is>
          <t>PASS</t>
        </is>
      </c>
      <c r="G159" t="inlineStr">
        <is>
          <t>SHL_LDM_EntityPropertyExtension.MTED_Encryption_Required</t>
        </is>
      </c>
      <c r="H159" s="6" t="n"/>
    </row>
    <row r="160">
      <c r="A160" t="inlineStr">
        <is>
          <t>ACTIVITY_TYPE_PARAMETER_FACTOR</t>
        </is>
      </c>
      <c r="B160" t="inlineStr">
        <is>
          <t>Entity</t>
        </is>
      </c>
      <c r="C160" t="inlineStr">
        <is>
          <t>MappingLevel</t>
        </is>
      </c>
      <c r="D160" s="6" t="inlineStr">
        <is>
          <t>BLM</t>
        </is>
      </c>
      <c r="E160" s="6" t="inlineStr">
        <is>
          <t>BLM</t>
        </is>
      </c>
      <c r="F160" s="12" t="inlineStr">
        <is>
          <t>PASS</t>
        </is>
      </c>
      <c r="G160" t="inlineStr">
        <is>
          <t>BIM-core.MappingLevel</t>
        </is>
      </c>
      <c r="H160" s="6" t="n"/>
    </row>
    <row r="161">
      <c r="A161" t="inlineStr">
        <is>
          <t>ACTIVITY_TYPE_PARAMETER_FACTOR</t>
        </is>
      </c>
      <c r="B161" t="inlineStr">
        <is>
          <t>Entity</t>
        </is>
      </c>
      <c r="C161" t="inlineStr">
        <is>
          <t>MapsToEntity</t>
        </is>
      </c>
      <c r="D161" s="6" t="inlineStr">
        <is>
          <t>EMISSION_ACTIVITY_TYPE_FACTOR</t>
        </is>
      </c>
      <c r="E161" s="6" t="inlineStr">
        <is>
          <t>EMISSION_ACTIVITY_TYPE_FACTOR</t>
        </is>
      </c>
      <c r="F161" s="12" t="inlineStr">
        <is>
          <t>PASS</t>
        </is>
      </c>
      <c r="G161" t="inlineStr">
        <is>
          <t>BIM-core.MapsToEntity</t>
        </is>
      </c>
      <c r="H161" s="6" t="n"/>
    </row>
    <row r="162">
      <c r="A162" t="inlineStr">
        <is>
          <t>ACTIVITY_TYPE_PARAMETER_FACTOR</t>
        </is>
      </c>
      <c r="B162" t="inlineStr">
        <is>
          <t>Entity</t>
        </is>
      </c>
      <c r="C162" t="inlineStr">
        <is>
          <t>PD_ObjectID</t>
        </is>
      </c>
      <c r="D162" s="6" t="inlineStr">
        <is>
          <t>21246286-2241-4506-B7FC-EAD245705095</t>
        </is>
      </c>
      <c r="E162" s="6" t="inlineStr">
        <is>
          <t>21246286-2241-4506-B7FC-EAD245705095</t>
        </is>
      </c>
      <c r="F162" s="12" t="inlineStr">
        <is>
          <t>PASS</t>
        </is>
      </c>
      <c r="H162" s="6" t="n"/>
    </row>
    <row r="163">
      <c r="A163" t="inlineStr">
        <is>
          <t>ACTIVITY_TYPE_PARAMETER_FACTOR</t>
        </is>
      </c>
      <c r="B163" t="inlineStr">
        <is>
          <t>Entity</t>
        </is>
      </c>
      <c r="C163" t="inlineStr">
        <is>
          <t>PD_SourceExtraction</t>
        </is>
      </c>
      <c r="D163" s="6" t="inlineStr">
        <is>
          <t>46603045</t>
        </is>
      </c>
      <c r="E163" s="6" t="inlineStr">
        <is>
          <t>46603045</t>
        </is>
      </c>
      <c r="F163" s="12" t="inlineStr">
        <is>
          <t>PASS</t>
        </is>
      </c>
      <c r="H163" s="6" t="n"/>
    </row>
    <row r="164">
      <c r="A164" t="inlineStr">
        <is>
          <t>ACTIVITY_TYPE_PARAMETER_FACTOR</t>
        </is>
      </c>
      <c r="B164" t="inlineStr">
        <is>
          <t>Entity</t>
        </is>
      </c>
      <c r="C164" t="inlineStr">
        <is>
          <t>PD_SourceModel</t>
        </is>
      </c>
      <c r="D164" s="6" t="inlineStr">
        <is>
          <t>05_Carbon_Calculator</t>
        </is>
      </c>
      <c r="E164" s="6" t="inlineStr">
        <is>
          <t>05_Carbon_Calculator</t>
        </is>
      </c>
      <c r="F164" s="12" t="inlineStr">
        <is>
          <t>PASS</t>
        </is>
      </c>
      <c r="H164" s="6" t="n"/>
    </row>
    <row r="165">
      <c r="A165" t="inlineStr">
        <is>
          <t>ACTIVITY_TYPE_PARAMETER_FACTOR</t>
        </is>
      </c>
      <c r="B165" t="inlineStr">
        <is>
          <t>Entity</t>
        </is>
      </c>
      <c r="C165" t="inlineStr">
        <is>
          <t>SensitivePersonalData</t>
        </is>
      </c>
      <c r="D165" s="6" t="inlineStr">
        <is>
          <t>No Sensitive Personal Data</t>
        </is>
      </c>
      <c r="E165" s="6" t="inlineStr">
        <is>
          <t>No Sensitive Personal Data</t>
        </is>
      </c>
      <c r="F165" s="12" t="inlineStr">
        <is>
          <t>PASS</t>
        </is>
      </c>
      <c r="G165" t="inlineStr">
        <is>
          <t>BIM-core.SensitivePersonalData</t>
        </is>
      </c>
      <c r="H165" s="6" t="n"/>
    </row>
    <row r="166">
      <c r="A166" t="inlineStr">
        <is>
          <t>APPLICATION_EQUIPMENT</t>
        </is>
      </c>
      <c r="B166" t="inlineStr">
        <is>
          <t>Entity</t>
        </is>
      </c>
      <c r="C166" t="inlineStr">
        <is>
          <t>CSI</t>
        </is>
      </c>
      <c r="D166" s="6" t="inlineStr">
        <is>
          <t>false</t>
        </is>
      </c>
      <c r="E166" s="6" t="inlineStr">
        <is>
          <t>false</t>
        </is>
      </c>
      <c r="F166" s="12" t="inlineStr">
        <is>
          <t>PASS</t>
        </is>
      </c>
      <c r="G166" t="inlineStr">
        <is>
          <t>SHL_LDM_EntityPropertyExtension.CSI</t>
        </is>
      </c>
      <c r="H166" s="6" t="n"/>
    </row>
    <row r="167">
      <c r="A167" t="inlineStr">
        <is>
          <t>APPLICATION_EQUIPMENT</t>
        </is>
      </c>
      <c r="B167" t="inlineStr">
        <is>
          <t>Entity</t>
        </is>
      </c>
      <c r="C167" t="inlineStr">
        <is>
          <t>CommerciallySensitiveInformation</t>
        </is>
      </c>
      <c r="D167" s="6" t="inlineStr">
        <is>
          <t>No Commercially Sensitive Information</t>
        </is>
      </c>
      <c r="E167" s="6" t="inlineStr">
        <is>
          <t>No Commercially Sensitive Information</t>
        </is>
      </c>
      <c r="F167" s="12" t="inlineStr">
        <is>
          <t>PASS</t>
        </is>
      </c>
      <c r="G167" t="inlineStr">
        <is>
          <t>BIM-core.CommerciallySensitiveInformation</t>
        </is>
      </c>
      <c r="H167" s="6" t="n"/>
    </row>
    <row r="168">
      <c r="A168" t="inlineStr">
        <is>
          <t>APPLICATION_EQUIPMENT</t>
        </is>
      </c>
      <c r="B168" t="inlineStr">
        <is>
          <t>Entity</t>
        </is>
      </c>
      <c r="C168" t="inlineStr">
        <is>
          <t>Criticality</t>
        </is>
      </c>
      <c r="D168" s="6" t="inlineStr">
        <is>
          <t>No Critical Data</t>
        </is>
      </c>
      <c r="E168" s="6" t="inlineStr">
        <is>
          <t>No Critical Data</t>
        </is>
      </c>
      <c r="F168" s="12" t="inlineStr">
        <is>
          <t>PASS</t>
        </is>
      </c>
      <c r="G168" t="inlineStr">
        <is>
          <t>BIM-core.Criticality</t>
        </is>
      </c>
      <c r="H168" s="6" t="n"/>
    </row>
    <row r="169">
      <c r="A169" t="inlineStr">
        <is>
          <t>APPLICATION_EQUIPMENT</t>
        </is>
      </c>
      <c r="B169" t="inlineStr">
        <is>
          <t>Entity</t>
        </is>
      </c>
      <c r="C169" t="inlineStr">
        <is>
          <t>DataCategory</t>
        </is>
      </c>
      <c r="D169" s="6" t="inlineStr">
        <is>
          <t>Structured</t>
        </is>
      </c>
      <c r="E169" s="6" t="inlineStr">
        <is>
          <t>Structured</t>
        </is>
      </c>
      <c r="F169" s="12" t="inlineStr">
        <is>
          <t>PASS</t>
        </is>
      </c>
      <c r="G169" t="inlineStr">
        <is>
          <t>BIM-core.DataCategory</t>
        </is>
      </c>
      <c r="H169" s="6" t="n"/>
    </row>
    <row r="170">
      <c r="A170" t="inlineStr">
        <is>
          <t>APPLICATION_EQUIPMENT</t>
        </is>
      </c>
      <c r="B170" t="inlineStr">
        <is>
          <t>Entity</t>
        </is>
      </c>
      <c r="C170" t="inlineStr">
        <is>
          <t>DataConfidentiality</t>
        </is>
      </c>
      <c r="D170" s="6" t="inlineStr">
        <is>
          <t>Internal</t>
        </is>
      </c>
      <c r="E170" s="6" t="inlineStr">
        <is>
          <t>Internal</t>
        </is>
      </c>
      <c r="F170" s="12" t="inlineStr">
        <is>
          <t>PASS</t>
        </is>
      </c>
      <c r="G170" t="inlineStr">
        <is>
          <t>BIM-core.DataConfidentiality</t>
        </is>
      </c>
      <c r="H170" s="6" t="n"/>
    </row>
    <row r="171">
      <c r="A171" t="inlineStr">
        <is>
          <t>APPLICATION_EQUIPMENT</t>
        </is>
      </c>
      <c r="B171" t="inlineStr">
        <is>
          <t>Entity</t>
        </is>
      </c>
      <c r="C171" t="inlineStr">
        <is>
          <t>DesignStatus</t>
        </is>
      </c>
      <c r="D171" s="6" t="inlineStr">
        <is>
          <t>Approved</t>
        </is>
      </c>
      <c r="E171" s="6" t="inlineStr">
        <is>
          <t>Approved</t>
        </is>
      </c>
      <c r="F171" s="12" t="inlineStr">
        <is>
          <t>PASS</t>
        </is>
      </c>
      <c r="G171" t="inlineStr">
        <is>
          <t>BIM-core.DesignStatus</t>
        </is>
      </c>
      <c r="H171" s="6" t="n"/>
    </row>
    <row r="172">
      <c r="A172" t="inlineStr">
        <is>
          <t>APPLICATION_EQUIPMENT</t>
        </is>
      </c>
      <c r="B172" t="inlineStr">
        <is>
          <t>Entity</t>
        </is>
      </c>
      <c r="C172" t="inlineStr">
        <is>
          <t>EntityCategory</t>
        </is>
      </c>
      <c r="D172" s="6" t="inlineStr">
        <is>
          <t>Intersection</t>
        </is>
      </c>
      <c r="E172" s="6" t="inlineStr">
        <is>
          <t>Intersection</t>
        </is>
      </c>
      <c r="F172" s="12" t="inlineStr">
        <is>
          <t>PASS</t>
        </is>
      </c>
      <c r="G172" t="inlineStr">
        <is>
          <t>BIM-core.EntityCategory</t>
        </is>
      </c>
      <c r="H172" s="6" t="n"/>
    </row>
    <row r="173">
      <c r="A173" t="inlineStr">
        <is>
          <t>APPLICATION_EQUIPMENT</t>
        </is>
      </c>
      <c r="B173" t="inlineStr">
        <is>
          <t>Entity</t>
        </is>
      </c>
      <c r="C173" t="inlineStr">
        <is>
          <t>EntityPersonalData</t>
        </is>
      </c>
      <c r="D173" s="6" t="inlineStr">
        <is>
          <t>No Personal Data</t>
        </is>
      </c>
      <c r="E173" s="6" t="inlineStr">
        <is>
          <t>No Personal Data</t>
        </is>
      </c>
      <c r="F173" s="12" t="inlineStr">
        <is>
          <t>PASS</t>
        </is>
      </c>
      <c r="G173" t="inlineStr">
        <is>
          <t>BIM-core.EntityPersonalData</t>
        </is>
      </c>
      <c r="H173" s="6" t="n"/>
    </row>
    <row r="174">
      <c r="A174" t="inlineStr">
        <is>
          <t>APPLICATION_EQUIPMENT</t>
        </is>
      </c>
      <c r="B174" t="inlineStr">
        <is>
          <t>Entity</t>
        </is>
      </c>
      <c r="C174" t="inlineStr">
        <is>
          <t>FinancialPersonalData</t>
        </is>
      </c>
      <c r="D174" s="6" t="inlineStr">
        <is>
          <t>No Financial Personal Data</t>
        </is>
      </c>
      <c r="E174" s="6" t="inlineStr">
        <is>
          <t>No Financial Personal Data</t>
        </is>
      </c>
      <c r="F174" s="12" t="inlineStr">
        <is>
          <t>PASS</t>
        </is>
      </c>
      <c r="G174" t="inlineStr">
        <is>
          <t>BIM-core.FinancialPersonalData</t>
        </is>
      </c>
      <c r="H174" s="6" t="n"/>
    </row>
    <row r="175">
      <c r="A175" t="inlineStr">
        <is>
          <t>APPLICATION_EQUIPMENT</t>
        </is>
      </c>
      <c r="B175" t="inlineStr">
        <is>
          <t>Entity</t>
        </is>
      </c>
      <c r="C175" t="inlineStr">
        <is>
          <t>MTED_Encryption_Required</t>
        </is>
      </c>
      <c r="D175" s="6" t="inlineStr">
        <is>
          <t>false</t>
        </is>
      </c>
      <c r="E175" s="6" t="inlineStr">
        <is>
          <t>false</t>
        </is>
      </c>
      <c r="F175" s="12" t="inlineStr">
        <is>
          <t>PASS</t>
        </is>
      </c>
      <c r="G175" t="inlineStr">
        <is>
          <t>SHL_LDM_EntityPropertyExtension.MTED_Encryption_Required</t>
        </is>
      </c>
      <c r="H175" s="6" t="n"/>
    </row>
    <row r="176">
      <c r="A176" t="inlineStr">
        <is>
          <t>APPLICATION_EQUIPMENT</t>
        </is>
      </c>
      <c r="B176" t="inlineStr">
        <is>
          <t>Entity</t>
        </is>
      </c>
      <c r="C176" t="inlineStr">
        <is>
          <t>MappingLevel</t>
        </is>
      </c>
      <c r="D176" s="6" t="inlineStr">
        <is>
          <t>BLM</t>
        </is>
      </c>
      <c r="E176" s="6" t="inlineStr">
        <is>
          <t>BLM</t>
        </is>
      </c>
      <c r="F176" s="12" t="inlineStr">
        <is>
          <t>PASS</t>
        </is>
      </c>
      <c r="G176" t="inlineStr">
        <is>
          <t>BIM-core.MappingLevel</t>
        </is>
      </c>
      <c r="H176" s="6" t="n"/>
    </row>
    <row r="177">
      <c r="A177" t="inlineStr">
        <is>
          <t>APPLICATION_EQUIPMENT</t>
        </is>
      </c>
      <c r="B177" t="inlineStr">
        <is>
          <t>Entity</t>
        </is>
      </c>
      <c r="C177" t="inlineStr">
        <is>
          <t>MapsToEntity</t>
        </is>
      </c>
      <c r="D177" s="6" t="inlineStr">
        <is>
          <t>APPLICATION_EQUIPMENT</t>
        </is>
      </c>
      <c r="E177" s="6" t="inlineStr">
        <is>
          <t>APPLICATION_EQUIPMENT</t>
        </is>
      </c>
      <c r="F177" s="12" t="inlineStr">
        <is>
          <t>PASS</t>
        </is>
      </c>
      <c r="G177" t="inlineStr">
        <is>
          <t>BIM-core.MapsToEntity</t>
        </is>
      </c>
      <c r="H177" s="6" t="n"/>
    </row>
    <row r="178">
      <c r="A178" t="inlineStr">
        <is>
          <t>APPLICATION_EQUIPMENT</t>
        </is>
      </c>
      <c r="B178" t="inlineStr">
        <is>
          <t>Entity</t>
        </is>
      </c>
      <c r="C178" t="inlineStr">
        <is>
          <t>PD_ObjectID</t>
        </is>
      </c>
      <c r="D178" s="6" t="inlineStr">
        <is>
          <t>308A0805-4055-4FD3-B924-036FB2621538</t>
        </is>
      </c>
      <c r="E178" s="6" t="inlineStr">
        <is>
          <t>308A0805-4055-4FD3-B924-036FB2621538</t>
        </is>
      </c>
      <c r="F178" s="12" t="inlineStr">
        <is>
          <t>PASS</t>
        </is>
      </c>
      <c r="H178" s="6" t="n"/>
    </row>
    <row r="179">
      <c r="A179" t="inlineStr">
        <is>
          <t>APPLICATION_EQUIPMENT</t>
        </is>
      </c>
      <c r="B179" t="inlineStr">
        <is>
          <t>Entity</t>
        </is>
      </c>
      <c r="C179" t="inlineStr">
        <is>
          <t>PD_SourceExtraction</t>
        </is>
      </c>
      <c r="D179" s="6" t="inlineStr">
        <is>
          <t>46603045</t>
        </is>
      </c>
      <c r="E179" s="6" t="inlineStr">
        <is>
          <t>46603045</t>
        </is>
      </c>
      <c r="F179" s="12" t="inlineStr">
        <is>
          <t>PASS</t>
        </is>
      </c>
      <c r="H179" s="6" t="n"/>
    </row>
    <row r="180">
      <c r="A180" t="inlineStr">
        <is>
          <t>APPLICATION_EQUIPMENT</t>
        </is>
      </c>
      <c r="B180" t="inlineStr">
        <is>
          <t>Entity</t>
        </is>
      </c>
      <c r="C180" t="inlineStr">
        <is>
          <t>PD_SourceModel</t>
        </is>
      </c>
      <c r="D180" s="6" t="inlineStr">
        <is>
          <t>05_Carbon_Calculator</t>
        </is>
      </c>
      <c r="E180" s="6" t="inlineStr">
        <is>
          <t>05_Carbon_Calculator</t>
        </is>
      </c>
      <c r="F180" s="12" t="inlineStr">
        <is>
          <t>PASS</t>
        </is>
      </c>
      <c r="H180" s="6" t="n"/>
    </row>
    <row r="181">
      <c r="A181" t="inlineStr">
        <is>
          <t>APPLICATION_EQUIPMENT</t>
        </is>
      </c>
      <c r="B181" t="inlineStr">
        <is>
          <t>Entity</t>
        </is>
      </c>
      <c r="C181" t="inlineStr">
        <is>
          <t>SensitivePersonalData</t>
        </is>
      </c>
      <c r="D181" s="6" t="inlineStr">
        <is>
          <t>No Sensitive Personal Data</t>
        </is>
      </c>
      <c r="E181" s="6" t="inlineStr">
        <is>
          <t>No Sensitive Personal Data</t>
        </is>
      </c>
      <c r="F181" s="12" t="inlineStr">
        <is>
          <t>PASS</t>
        </is>
      </c>
      <c r="G181" t="inlineStr">
        <is>
          <t>BIM-core.SensitivePersonalData</t>
        </is>
      </c>
      <c r="H181" s="6" t="n"/>
    </row>
    <row r="182">
      <c r="A182" t="inlineStr">
        <is>
          <t>APPLICATION_METHOD</t>
        </is>
      </c>
      <c r="B182" t="inlineStr">
        <is>
          <t>Entity</t>
        </is>
      </c>
      <c r="C182" t="inlineStr">
        <is>
          <t>CSI</t>
        </is>
      </c>
      <c r="D182" s="6" t="inlineStr">
        <is>
          <t>false</t>
        </is>
      </c>
      <c r="E182" s="6" t="inlineStr">
        <is>
          <t>false</t>
        </is>
      </c>
      <c r="F182" s="12" t="inlineStr">
        <is>
          <t>PASS</t>
        </is>
      </c>
      <c r="G182" t="inlineStr">
        <is>
          <t>SHL_LDM_EntityPropertyExtension.CSI</t>
        </is>
      </c>
      <c r="H182" s="6" t="n"/>
    </row>
    <row r="183">
      <c r="A183" t="inlineStr">
        <is>
          <t>APPLICATION_METHOD</t>
        </is>
      </c>
      <c r="B183" t="inlineStr">
        <is>
          <t>Entity</t>
        </is>
      </c>
      <c r="C183" t="inlineStr">
        <is>
          <t>CommerciallySensitiveInformation</t>
        </is>
      </c>
      <c r="D183" s="6" t="inlineStr">
        <is>
          <t>No Commercially Sensitive Information</t>
        </is>
      </c>
      <c r="E183" s="6" t="inlineStr">
        <is>
          <t>No Commercially Sensitive Information</t>
        </is>
      </c>
      <c r="F183" s="12" t="inlineStr">
        <is>
          <t>PASS</t>
        </is>
      </c>
      <c r="G183" t="inlineStr">
        <is>
          <t>BIM-core.CommerciallySensitiveInformation</t>
        </is>
      </c>
      <c r="H183" s="6" t="n"/>
    </row>
    <row r="184">
      <c r="A184" t="inlineStr">
        <is>
          <t>APPLICATION_METHOD</t>
        </is>
      </c>
      <c r="B184" t="inlineStr">
        <is>
          <t>Entity</t>
        </is>
      </c>
      <c r="C184" t="inlineStr">
        <is>
          <t>Criticality</t>
        </is>
      </c>
      <c r="D184" s="6" t="inlineStr">
        <is>
          <t>No Critical Data</t>
        </is>
      </c>
      <c r="E184" s="6" t="inlineStr">
        <is>
          <t>No Critical Data</t>
        </is>
      </c>
      <c r="F184" s="12" t="inlineStr">
        <is>
          <t>PASS</t>
        </is>
      </c>
      <c r="G184" t="inlineStr">
        <is>
          <t>BIM-core.Criticality</t>
        </is>
      </c>
      <c r="H184" s="6" t="n"/>
    </row>
    <row r="185">
      <c r="A185" t="inlineStr">
        <is>
          <t>APPLICATION_METHOD</t>
        </is>
      </c>
      <c r="B185" t="inlineStr">
        <is>
          <t>Entity</t>
        </is>
      </c>
      <c r="C185" t="inlineStr">
        <is>
          <t>DataCategory</t>
        </is>
      </c>
      <c r="D185" s="6" t="inlineStr">
        <is>
          <t>Structured</t>
        </is>
      </c>
      <c r="E185" s="6" t="inlineStr">
        <is>
          <t>Structured</t>
        </is>
      </c>
      <c r="F185" s="12" t="inlineStr">
        <is>
          <t>PASS</t>
        </is>
      </c>
      <c r="G185" t="inlineStr">
        <is>
          <t>BIM-core.DataCategory</t>
        </is>
      </c>
      <c r="H185" s="6" t="n"/>
    </row>
    <row r="186">
      <c r="A186" t="inlineStr">
        <is>
          <t>APPLICATION_METHOD</t>
        </is>
      </c>
      <c r="B186" t="inlineStr">
        <is>
          <t>Entity</t>
        </is>
      </c>
      <c r="C186" t="inlineStr">
        <is>
          <t>DataConfidentiality</t>
        </is>
      </c>
      <c r="D186" s="6" t="inlineStr">
        <is>
          <t>Internal</t>
        </is>
      </c>
      <c r="E186" s="6" t="inlineStr">
        <is>
          <t>Internal</t>
        </is>
      </c>
      <c r="F186" s="12" t="inlineStr">
        <is>
          <t>PASS</t>
        </is>
      </c>
      <c r="G186" t="inlineStr">
        <is>
          <t>BIM-core.DataConfidentiality</t>
        </is>
      </c>
      <c r="H186" s="6" t="n"/>
    </row>
    <row r="187">
      <c r="A187" t="inlineStr">
        <is>
          <t>APPLICATION_METHOD</t>
        </is>
      </c>
      <c r="B187" t="inlineStr">
        <is>
          <t>Entity</t>
        </is>
      </c>
      <c r="C187" t="inlineStr">
        <is>
          <t>DesignStatus</t>
        </is>
      </c>
      <c r="D187" s="6" t="inlineStr">
        <is>
          <t>Approved</t>
        </is>
      </c>
      <c r="E187" s="6" t="inlineStr">
        <is>
          <t>Approved</t>
        </is>
      </c>
      <c r="F187" s="12" t="inlineStr">
        <is>
          <t>PASS</t>
        </is>
      </c>
      <c r="G187" t="inlineStr">
        <is>
          <t>BIM-core.DesignStatus</t>
        </is>
      </c>
      <c r="H187" s="6" t="n"/>
    </row>
    <row r="188">
      <c r="A188" t="inlineStr">
        <is>
          <t>APPLICATION_METHOD</t>
        </is>
      </c>
      <c r="B188" t="inlineStr">
        <is>
          <t>Entity</t>
        </is>
      </c>
      <c r="C188" t="inlineStr">
        <is>
          <t>EntityCategory</t>
        </is>
      </c>
      <c r="D188" s="6" t="inlineStr">
        <is>
          <t>Internal Reference</t>
        </is>
      </c>
      <c r="E188" s="6" t="inlineStr">
        <is>
          <t>Internal Reference</t>
        </is>
      </c>
      <c r="F188" s="12" t="inlineStr">
        <is>
          <t>PASS</t>
        </is>
      </c>
      <c r="G188" t="inlineStr">
        <is>
          <t>BIM-core.EntityCategory</t>
        </is>
      </c>
      <c r="H188" s="6" t="n"/>
    </row>
    <row r="189">
      <c r="A189" t="inlineStr">
        <is>
          <t>APPLICATION_METHOD</t>
        </is>
      </c>
      <c r="B189" t="inlineStr">
        <is>
          <t>Entity</t>
        </is>
      </c>
      <c r="C189" t="inlineStr">
        <is>
          <t>EntityPersonalData</t>
        </is>
      </c>
      <c r="D189" s="6" t="inlineStr">
        <is>
          <t>No Personal Data</t>
        </is>
      </c>
      <c r="E189" s="6" t="inlineStr">
        <is>
          <t>No Personal Data</t>
        </is>
      </c>
      <c r="F189" s="12" t="inlineStr">
        <is>
          <t>PASS</t>
        </is>
      </c>
      <c r="G189" t="inlineStr">
        <is>
          <t>BIM-core.EntityPersonalData</t>
        </is>
      </c>
      <c r="H189" s="6" t="n"/>
    </row>
    <row r="190">
      <c r="A190" t="inlineStr">
        <is>
          <t>APPLICATION_METHOD</t>
        </is>
      </c>
      <c r="B190" t="inlineStr">
        <is>
          <t>Entity</t>
        </is>
      </c>
      <c r="C190" t="inlineStr">
        <is>
          <t>FinancialPersonalData</t>
        </is>
      </c>
      <c r="D190" s="6" t="inlineStr">
        <is>
          <t>No Financial Personal Data</t>
        </is>
      </c>
      <c r="E190" s="6" t="inlineStr">
        <is>
          <t>No Financial Personal Data</t>
        </is>
      </c>
      <c r="F190" s="12" t="inlineStr">
        <is>
          <t>PASS</t>
        </is>
      </c>
      <c r="G190" t="inlineStr">
        <is>
          <t>BIM-core.FinancialPersonalData</t>
        </is>
      </c>
      <c r="H190" s="6" t="n"/>
    </row>
    <row r="191">
      <c r="A191" t="inlineStr">
        <is>
          <t>APPLICATION_METHOD</t>
        </is>
      </c>
      <c r="B191" t="inlineStr">
        <is>
          <t>Entity</t>
        </is>
      </c>
      <c r="C191" t="inlineStr">
        <is>
          <t>MTED_Encryption_Required</t>
        </is>
      </c>
      <c r="D191" s="6" t="inlineStr">
        <is>
          <t>false</t>
        </is>
      </c>
      <c r="E191" s="6" t="inlineStr">
        <is>
          <t>false</t>
        </is>
      </c>
      <c r="F191" s="12" t="inlineStr">
        <is>
          <t>PASS</t>
        </is>
      </c>
      <c r="G191" t="inlineStr">
        <is>
          <t>SHL_LDM_EntityPropertyExtension.MTED_Encryption_Required</t>
        </is>
      </c>
      <c r="H191" s="6" t="n"/>
    </row>
    <row r="192">
      <c r="A192" t="inlineStr">
        <is>
          <t>APPLICATION_METHOD</t>
        </is>
      </c>
      <c r="B192" t="inlineStr">
        <is>
          <t>Entity</t>
        </is>
      </c>
      <c r="C192" t="inlineStr">
        <is>
          <t>MappingLevel</t>
        </is>
      </c>
      <c r="D192" s="6" t="inlineStr">
        <is>
          <t>BLM</t>
        </is>
      </c>
      <c r="E192" s="6" t="inlineStr">
        <is>
          <t>BLM</t>
        </is>
      </c>
      <c r="F192" s="12" t="inlineStr">
        <is>
          <t>PASS</t>
        </is>
      </c>
      <c r="G192" t="inlineStr">
        <is>
          <t>BIM-core.MappingLevel</t>
        </is>
      </c>
      <c r="H192" s="6" t="n"/>
    </row>
    <row r="193">
      <c r="A193" t="inlineStr">
        <is>
          <t>APPLICATION_METHOD</t>
        </is>
      </c>
      <c r="B193" t="inlineStr">
        <is>
          <t>Entity</t>
        </is>
      </c>
      <c r="C193" t="inlineStr">
        <is>
          <t>MapsToEntity</t>
        </is>
      </c>
      <c r="D193" s="6" t="inlineStr">
        <is>
          <t>FUEL_APPLICATION_METHOD</t>
        </is>
      </c>
      <c r="E193" s="6" t="inlineStr">
        <is>
          <t>FUEL_APPLICATION_METHOD</t>
        </is>
      </c>
      <c r="F193" s="12" t="inlineStr">
        <is>
          <t>PASS</t>
        </is>
      </c>
      <c r="G193" t="inlineStr">
        <is>
          <t>BIM-core.MapsToEntity</t>
        </is>
      </c>
      <c r="H193" s="6" t="n"/>
    </row>
    <row r="194">
      <c r="A194" t="inlineStr">
        <is>
          <t>APPLICATION_METHOD</t>
        </is>
      </c>
      <c r="B194" t="inlineStr">
        <is>
          <t>Entity</t>
        </is>
      </c>
      <c r="C194" t="inlineStr">
        <is>
          <t>PD_ObjectID</t>
        </is>
      </c>
      <c r="D194" s="6" t="inlineStr">
        <is>
          <t>C5F546B4-AA51-4A77-84FF-4A6675041D34</t>
        </is>
      </c>
      <c r="E194" s="6" t="inlineStr">
        <is>
          <t>C5F546B4-AA51-4A77-84FF-4A6675041D34</t>
        </is>
      </c>
      <c r="F194" s="12" t="inlineStr">
        <is>
          <t>PASS</t>
        </is>
      </c>
      <c r="H194" s="6" t="n"/>
    </row>
    <row r="195">
      <c r="A195" t="inlineStr">
        <is>
          <t>APPLICATION_METHOD</t>
        </is>
      </c>
      <c r="B195" t="inlineStr">
        <is>
          <t>Entity</t>
        </is>
      </c>
      <c r="C195" t="inlineStr">
        <is>
          <t>PD_SourceExtraction</t>
        </is>
      </c>
      <c r="D195" s="6" t="inlineStr">
        <is>
          <t>46603045</t>
        </is>
      </c>
      <c r="E195" s="6" t="inlineStr">
        <is>
          <t>46603045</t>
        </is>
      </c>
      <c r="F195" s="12" t="inlineStr">
        <is>
          <t>PASS</t>
        </is>
      </c>
      <c r="H195" s="6" t="n"/>
    </row>
    <row r="196">
      <c r="A196" t="inlineStr">
        <is>
          <t>APPLICATION_METHOD</t>
        </is>
      </c>
      <c r="B196" t="inlineStr">
        <is>
          <t>Entity</t>
        </is>
      </c>
      <c r="C196" t="inlineStr">
        <is>
          <t>PD_SourceModel</t>
        </is>
      </c>
      <c r="D196" s="6" t="inlineStr">
        <is>
          <t>05_Carbon_Calculator</t>
        </is>
      </c>
      <c r="E196" s="6" t="inlineStr">
        <is>
          <t>05_Carbon_Calculator</t>
        </is>
      </c>
      <c r="F196" s="12" t="inlineStr">
        <is>
          <t>PASS</t>
        </is>
      </c>
      <c r="H196" s="6" t="n"/>
    </row>
    <row r="197">
      <c r="A197" t="inlineStr">
        <is>
          <t>APPLICATION_METHOD</t>
        </is>
      </c>
      <c r="B197" t="inlineStr">
        <is>
          <t>Entity</t>
        </is>
      </c>
      <c r="C197" t="inlineStr">
        <is>
          <t>SensitivePersonalData</t>
        </is>
      </c>
      <c r="D197" s="6" t="inlineStr">
        <is>
          <t>No Sensitive Personal Data</t>
        </is>
      </c>
      <c r="E197" s="6" t="inlineStr">
        <is>
          <t>No Sensitive Personal Data</t>
        </is>
      </c>
      <c r="F197" s="12" t="inlineStr">
        <is>
          <t>PASS</t>
        </is>
      </c>
      <c r="G197" t="inlineStr">
        <is>
          <t>BIM-core.SensitivePersonalData</t>
        </is>
      </c>
      <c r="H197" s="6" t="n"/>
    </row>
    <row r="198">
      <c r="A198" t="inlineStr">
        <is>
          <t>APPLICATION_METHOD_ARCHETYPE</t>
        </is>
      </c>
      <c r="B198" t="inlineStr">
        <is>
          <t>Entity</t>
        </is>
      </c>
      <c r="C198" t="inlineStr">
        <is>
          <t>CommerciallySensitiveInformation</t>
        </is>
      </c>
      <c r="D198" s="6" t="inlineStr">
        <is>
          <t>No Commercially Sensitive Information</t>
        </is>
      </c>
      <c r="E198" s="6" t="inlineStr">
        <is>
          <t>No Commercially Sensitive Information</t>
        </is>
      </c>
      <c r="F198" s="12" t="inlineStr">
        <is>
          <t>PASS</t>
        </is>
      </c>
      <c r="G198" t="inlineStr">
        <is>
          <t>BIM-core.CommerciallySensitiveInformation</t>
        </is>
      </c>
      <c r="H198" s="6" t="n"/>
    </row>
    <row r="199">
      <c r="A199" t="inlineStr">
        <is>
          <t>APPLICATION_METHOD_ARCHETYPE</t>
        </is>
      </c>
      <c r="B199" t="inlineStr">
        <is>
          <t>Entity</t>
        </is>
      </c>
      <c r="C199" t="inlineStr">
        <is>
          <t>Criticality</t>
        </is>
      </c>
      <c r="D199" s="6" t="inlineStr">
        <is>
          <t>No Critical Data</t>
        </is>
      </c>
      <c r="E199" s="6" t="inlineStr">
        <is>
          <t>No Critical Data</t>
        </is>
      </c>
      <c r="F199" s="12" t="inlineStr">
        <is>
          <t>PASS</t>
        </is>
      </c>
      <c r="G199" t="inlineStr">
        <is>
          <t>BIM-core.Criticality</t>
        </is>
      </c>
      <c r="H199" s="6" t="n"/>
    </row>
    <row r="200">
      <c r="A200" t="inlineStr">
        <is>
          <t>APPLICATION_METHOD_ARCHETYPE</t>
        </is>
      </c>
      <c r="B200" t="inlineStr">
        <is>
          <t>Entity</t>
        </is>
      </c>
      <c r="C200" t="inlineStr">
        <is>
          <t>DataCategory</t>
        </is>
      </c>
      <c r="D200" s="6" t="inlineStr">
        <is>
          <t>Structured</t>
        </is>
      </c>
      <c r="E200" s="6" t="inlineStr">
        <is>
          <t>Structured</t>
        </is>
      </c>
      <c r="F200" s="12" t="inlineStr">
        <is>
          <t>PASS</t>
        </is>
      </c>
      <c r="G200" t="inlineStr">
        <is>
          <t>BIM-core.DataCategory</t>
        </is>
      </c>
      <c r="H200" s="6" t="n"/>
    </row>
    <row r="201">
      <c r="A201" t="inlineStr">
        <is>
          <t>APPLICATION_METHOD_ARCHETYPE</t>
        </is>
      </c>
      <c r="B201" t="inlineStr">
        <is>
          <t>Entity</t>
        </is>
      </c>
      <c r="C201" t="inlineStr">
        <is>
          <t>DataConfidentiality</t>
        </is>
      </c>
      <c r="D201" s="6" t="inlineStr">
        <is>
          <t>Internal</t>
        </is>
      </c>
      <c r="E201" s="6" t="inlineStr">
        <is>
          <t>Internal</t>
        </is>
      </c>
      <c r="F201" s="12" t="inlineStr">
        <is>
          <t>PASS</t>
        </is>
      </c>
      <c r="G201" t="inlineStr">
        <is>
          <t>BIM-core.DataConfidentiality</t>
        </is>
      </c>
      <c r="H201" s="6" t="n"/>
    </row>
    <row r="202">
      <c r="A202" t="inlineStr">
        <is>
          <t>APPLICATION_METHOD_ARCHETYPE</t>
        </is>
      </c>
      <c r="B202" t="inlineStr">
        <is>
          <t>Entity</t>
        </is>
      </c>
      <c r="C202" t="inlineStr">
        <is>
          <t>DesignStatus</t>
        </is>
      </c>
      <c r="D202" s="6" t="inlineStr">
        <is>
          <t>Approved</t>
        </is>
      </c>
      <c r="E202" s="6" t="inlineStr">
        <is>
          <t>Approved</t>
        </is>
      </c>
      <c r="F202" s="12" t="inlineStr">
        <is>
          <t>PASS</t>
        </is>
      </c>
      <c r="G202" t="inlineStr">
        <is>
          <t>BIM-core.DesignStatus</t>
        </is>
      </c>
      <c r="H202" s="6" t="n"/>
    </row>
    <row r="203">
      <c r="A203" t="inlineStr">
        <is>
          <t>APPLICATION_METHOD_ARCHETYPE</t>
        </is>
      </c>
      <c r="B203" t="inlineStr">
        <is>
          <t>Entity</t>
        </is>
      </c>
      <c r="C203" t="inlineStr">
        <is>
          <t>EntityCategory</t>
        </is>
      </c>
      <c r="D203" s="6" t="inlineStr">
        <is>
          <t>Master</t>
        </is>
      </c>
      <c r="E203" s="6" t="inlineStr">
        <is>
          <t>Master</t>
        </is>
      </c>
      <c r="F203" s="12" t="inlineStr">
        <is>
          <t>PASS</t>
        </is>
      </c>
      <c r="G203" t="inlineStr">
        <is>
          <t>BIM-core.EntityCategory</t>
        </is>
      </c>
      <c r="H203" s="6" t="n"/>
    </row>
    <row r="204">
      <c r="A204" t="inlineStr">
        <is>
          <t>APPLICATION_METHOD_ARCHETYPE</t>
        </is>
      </c>
      <c r="B204" t="inlineStr">
        <is>
          <t>Entity</t>
        </is>
      </c>
      <c r="C204" t="inlineStr">
        <is>
          <t>EntityPersonalData</t>
        </is>
      </c>
      <c r="D204" s="6" t="inlineStr">
        <is>
          <t>No Personal Data</t>
        </is>
      </c>
      <c r="E204" s="6" t="inlineStr">
        <is>
          <t>No Personal Data</t>
        </is>
      </c>
      <c r="F204" s="12" t="inlineStr">
        <is>
          <t>PASS</t>
        </is>
      </c>
      <c r="G204" t="inlineStr">
        <is>
          <t>BIM-core.EntityPersonalData</t>
        </is>
      </c>
      <c r="H204" s="6" t="n"/>
    </row>
    <row r="205">
      <c r="A205" t="inlineStr">
        <is>
          <t>APPLICATION_METHOD_ARCHETYPE</t>
        </is>
      </c>
      <c r="B205" t="inlineStr">
        <is>
          <t>Entity</t>
        </is>
      </c>
      <c r="C205" t="inlineStr">
        <is>
          <t>FinancialPersonalData</t>
        </is>
      </c>
      <c r="D205" s="6" t="inlineStr">
        <is>
          <t>No Financial Personal Data</t>
        </is>
      </c>
      <c r="E205" s="6" t="inlineStr">
        <is>
          <t>No Financial Personal Data</t>
        </is>
      </c>
      <c r="F205" s="12" t="inlineStr">
        <is>
          <t>PASS</t>
        </is>
      </c>
      <c r="G205" t="inlineStr">
        <is>
          <t>BIM-core.FinancialPersonalData</t>
        </is>
      </c>
      <c r="H205" s="6" t="n"/>
    </row>
    <row r="206">
      <c r="A206" t="inlineStr">
        <is>
          <t>APPLICATION_METHOD_ARCHETYPE</t>
        </is>
      </c>
      <c r="B206" t="inlineStr">
        <is>
          <t>Entity</t>
        </is>
      </c>
      <c r="C206" t="inlineStr">
        <is>
          <t>MappingLevel</t>
        </is>
      </c>
      <c r="D206" s="6" t="inlineStr">
        <is>
          <t>BLM</t>
        </is>
      </c>
      <c r="E206" s="6" t="inlineStr">
        <is>
          <t>BLM</t>
        </is>
      </c>
      <c r="F206" s="12" t="inlineStr">
        <is>
          <t>PASS</t>
        </is>
      </c>
      <c r="G206" t="inlineStr">
        <is>
          <t>BIM-core.MappingLevel</t>
        </is>
      </c>
      <c r="H206" s="6" t="n"/>
    </row>
    <row r="207">
      <c r="A207" t="inlineStr">
        <is>
          <t>APPLICATION_METHOD_ARCHETYPE</t>
        </is>
      </c>
      <c r="B207" t="inlineStr">
        <is>
          <t>Entity</t>
        </is>
      </c>
      <c r="C207" t="inlineStr">
        <is>
          <t>MapsToEntity</t>
        </is>
      </c>
      <c r="D207" s="6" t="inlineStr">
        <is>
          <t>APPLICATION_PERFORMANCE_ARCHETYPE</t>
        </is>
      </c>
      <c r="E207" s="6" t="inlineStr">
        <is>
          <t>APPLICATION_PERFORMANCE_ARCHETYPE</t>
        </is>
      </c>
      <c r="F207" s="12" t="inlineStr">
        <is>
          <t>PASS</t>
        </is>
      </c>
      <c r="G207" t="inlineStr">
        <is>
          <t>BIM-core.MapsToEntity</t>
        </is>
      </c>
      <c r="H207" s="6" t="n"/>
    </row>
    <row r="208">
      <c r="A208" t="inlineStr">
        <is>
          <t>APPLICATION_METHOD_ARCHETYPE</t>
        </is>
      </c>
      <c r="B208" t="inlineStr">
        <is>
          <t>Entity</t>
        </is>
      </c>
      <c r="C208" t="inlineStr">
        <is>
          <t>PD_ObjectID</t>
        </is>
      </c>
      <c r="D208" s="6" t="inlineStr">
        <is>
          <t>BC73555A-D7A2-42BB-B593-C4A255CFE4BB</t>
        </is>
      </c>
      <c r="E208" s="6" t="inlineStr">
        <is>
          <t>BC73555A-D7A2-42BB-B593-C4A255CFE4BB</t>
        </is>
      </c>
      <c r="F208" s="12" t="inlineStr">
        <is>
          <t>PASS</t>
        </is>
      </c>
      <c r="H208" s="6" t="n"/>
    </row>
    <row r="209">
      <c r="A209" t="inlineStr">
        <is>
          <t>APPLICATION_METHOD_ARCHETYPE</t>
        </is>
      </c>
      <c r="B209" t="inlineStr">
        <is>
          <t>Entity</t>
        </is>
      </c>
      <c r="C209" t="inlineStr">
        <is>
          <t>PD_SourceExtraction</t>
        </is>
      </c>
      <c r="D209" s="6" t="inlineStr">
        <is>
          <t>46603045</t>
        </is>
      </c>
      <c r="E209" s="6" t="inlineStr">
        <is>
          <t>46603045</t>
        </is>
      </c>
      <c r="F209" s="12" t="inlineStr">
        <is>
          <t>PASS</t>
        </is>
      </c>
      <c r="H209" s="6" t="n"/>
    </row>
    <row r="210">
      <c r="A210" t="inlineStr">
        <is>
          <t>APPLICATION_METHOD_ARCHETYPE</t>
        </is>
      </c>
      <c r="B210" t="inlineStr">
        <is>
          <t>Entity</t>
        </is>
      </c>
      <c r="C210" t="inlineStr">
        <is>
          <t>PD_SourceModel</t>
        </is>
      </c>
      <c r="D210" s="6" t="inlineStr">
        <is>
          <t>05_Carbon_Calculator</t>
        </is>
      </c>
      <c r="E210" s="6" t="inlineStr">
        <is>
          <t>05_Carbon_Calculator</t>
        </is>
      </c>
      <c r="F210" s="12" t="inlineStr">
        <is>
          <t>PASS</t>
        </is>
      </c>
      <c r="H210" s="6" t="n"/>
    </row>
    <row r="211">
      <c r="A211" t="inlineStr">
        <is>
          <t>APPLICATION_METHOD_ARCHETYPE</t>
        </is>
      </c>
      <c r="B211" t="inlineStr">
        <is>
          <t>Entity</t>
        </is>
      </c>
      <c r="C211" t="inlineStr">
        <is>
          <t>SensitivePersonalData</t>
        </is>
      </c>
      <c r="D211" s="6" t="inlineStr">
        <is>
          <t>No Sensitive Personal Data</t>
        </is>
      </c>
      <c r="E211" s="6" t="inlineStr">
        <is>
          <t>No Sensitive Personal Data</t>
        </is>
      </c>
      <c r="F211" s="12" t="inlineStr">
        <is>
          <t>PASS</t>
        </is>
      </c>
      <c r="G211" t="inlineStr">
        <is>
          <t>BIM-core.SensitivePersonalData</t>
        </is>
      </c>
      <c r="H211" s="6" t="n"/>
    </row>
    <row r="212">
      <c r="A212" t="inlineStr">
        <is>
          <t>APPLICATION_METHOD_UOM</t>
        </is>
      </c>
      <c r="B212" t="inlineStr">
        <is>
          <t>Entity</t>
        </is>
      </c>
      <c r="C212" t="inlineStr">
        <is>
          <t>CommerciallySensitiveInformation</t>
        </is>
      </c>
      <c r="D212" s="6" t="inlineStr">
        <is>
          <t>No Commercially Sensitive Information</t>
        </is>
      </c>
      <c r="E212" s="6" t="inlineStr">
        <is>
          <t>No Commercially Sensitive Information</t>
        </is>
      </c>
      <c r="F212" s="12" t="inlineStr">
        <is>
          <t>PASS</t>
        </is>
      </c>
      <c r="G212" t="inlineStr">
        <is>
          <t>BIM-core.CommerciallySensitiveInformation</t>
        </is>
      </c>
      <c r="H212" s="6" t="n"/>
    </row>
    <row r="213">
      <c r="A213" t="inlineStr">
        <is>
          <t>APPLICATION_METHOD_UOM</t>
        </is>
      </c>
      <c r="B213" t="inlineStr">
        <is>
          <t>Entity</t>
        </is>
      </c>
      <c r="C213" t="inlineStr">
        <is>
          <t>Criticality</t>
        </is>
      </c>
      <c r="D213" s="6" t="inlineStr">
        <is>
          <t>No Critical Data</t>
        </is>
      </c>
      <c r="E213" s="6" t="inlineStr">
        <is>
          <t>No Critical Data</t>
        </is>
      </c>
      <c r="F213" s="12" t="inlineStr">
        <is>
          <t>PASS</t>
        </is>
      </c>
      <c r="G213" t="inlineStr">
        <is>
          <t>BIM-core.Criticality</t>
        </is>
      </c>
      <c r="H213" s="6" t="n"/>
    </row>
    <row r="214">
      <c r="A214" t="inlineStr">
        <is>
          <t>APPLICATION_METHOD_UOM</t>
        </is>
      </c>
      <c r="B214" t="inlineStr">
        <is>
          <t>Entity</t>
        </is>
      </c>
      <c r="C214" t="inlineStr">
        <is>
          <t>DataCategory</t>
        </is>
      </c>
      <c r="D214" s="6" t="inlineStr">
        <is>
          <t>Structured</t>
        </is>
      </c>
      <c r="E214" s="6" t="inlineStr">
        <is>
          <t>Structured</t>
        </is>
      </c>
      <c r="F214" s="12" t="inlineStr">
        <is>
          <t>PASS</t>
        </is>
      </c>
      <c r="G214" t="inlineStr">
        <is>
          <t>BIM-core.DataCategory</t>
        </is>
      </c>
      <c r="H214" s="6" t="n"/>
    </row>
    <row r="215">
      <c r="A215" t="inlineStr">
        <is>
          <t>APPLICATION_METHOD_UOM</t>
        </is>
      </c>
      <c r="B215" t="inlineStr">
        <is>
          <t>Entity</t>
        </is>
      </c>
      <c r="C215" t="inlineStr">
        <is>
          <t>DataConfidentiality</t>
        </is>
      </c>
      <c r="D215" s="6" t="inlineStr">
        <is>
          <t>Internal</t>
        </is>
      </c>
      <c r="E215" s="6" t="inlineStr">
        <is>
          <t>Internal</t>
        </is>
      </c>
      <c r="F215" s="12" t="inlineStr">
        <is>
          <t>PASS</t>
        </is>
      </c>
      <c r="G215" t="inlineStr">
        <is>
          <t>BIM-core.DataConfidentiality</t>
        </is>
      </c>
      <c r="H215" s="6" t="n"/>
    </row>
    <row r="216">
      <c r="A216" t="inlineStr">
        <is>
          <t>APPLICATION_METHOD_UOM</t>
        </is>
      </c>
      <c r="B216" t="inlineStr">
        <is>
          <t>Entity</t>
        </is>
      </c>
      <c r="C216" t="inlineStr">
        <is>
          <t>DesignStatus</t>
        </is>
      </c>
      <c r="D216" s="6" t="inlineStr">
        <is>
          <t>Approved</t>
        </is>
      </c>
      <c r="E216" s="6" t="inlineStr">
        <is>
          <t>Approved</t>
        </is>
      </c>
      <c r="F216" s="12" t="inlineStr">
        <is>
          <t>PASS</t>
        </is>
      </c>
      <c r="G216" t="inlineStr">
        <is>
          <t>BIM-core.DesignStatus</t>
        </is>
      </c>
      <c r="H216" s="6" t="n"/>
    </row>
    <row r="217">
      <c r="A217" t="inlineStr">
        <is>
          <t>APPLICATION_METHOD_UOM</t>
        </is>
      </c>
      <c r="B217" t="inlineStr">
        <is>
          <t>Entity</t>
        </is>
      </c>
      <c r="C217" t="inlineStr">
        <is>
          <t>EntityCategory</t>
        </is>
      </c>
      <c r="D217" s="6" t="inlineStr">
        <is>
          <t>Master</t>
        </is>
      </c>
      <c r="E217" s="6" t="inlineStr">
        <is>
          <t>Master</t>
        </is>
      </c>
      <c r="F217" s="12" t="inlineStr">
        <is>
          <t>PASS</t>
        </is>
      </c>
      <c r="G217" t="inlineStr">
        <is>
          <t>BIM-core.EntityCategory</t>
        </is>
      </c>
      <c r="H217" s="6" t="n"/>
    </row>
    <row r="218">
      <c r="A218" t="inlineStr">
        <is>
          <t>APPLICATION_METHOD_UOM</t>
        </is>
      </c>
      <c r="B218" t="inlineStr">
        <is>
          <t>Entity</t>
        </is>
      </c>
      <c r="C218" t="inlineStr">
        <is>
          <t>EntityPersonalData</t>
        </is>
      </c>
      <c r="D218" s="6" t="inlineStr">
        <is>
          <t>No Personal Data</t>
        </is>
      </c>
      <c r="E218" s="6" t="inlineStr">
        <is>
          <t>No Personal Data</t>
        </is>
      </c>
      <c r="F218" s="12" t="inlineStr">
        <is>
          <t>PASS</t>
        </is>
      </c>
      <c r="G218" t="inlineStr">
        <is>
          <t>BIM-core.EntityPersonalData</t>
        </is>
      </c>
      <c r="H218" s="6" t="n"/>
    </row>
    <row r="219">
      <c r="A219" t="inlineStr">
        <is>
          <t>APPLICATION_METHOD_UOM</t>
        </is>
      </c>
      <c r="B219" t="inlineStr">
        <is>
          <t>Entity</t>
        </is>
      </c>
      <c r="C219" t="inlineStr">
        <is>
          <t>FinancialPersonalData</t>
        </is>
      </c>
      <c r="D219" s="6" t="inlineStr">
        <is>
          <t>No Financial Personal Data</t>
        </is>
      </c>
      <c r="E219" s="6" t="inlineStr">
        <is>
          <t>No Financial Personal Data</t>
        </is>
      </c>
      <c r="F219" s="12" t="inlineStr">
        <is>
          <t>PASS</t>
        </is>
      </c>
      <c r="G219" t="inlineStr">
        <is>
          <t>BIM-core.FinancialPersonalData</t>
        </is>
      </c>
      <c r="H219" s="6" t="n"/>
    </row>
    <row r="220">
      <c r="A220" t="inlineStr">
        <is>
          <t>APPLICATION_METHOD_UOM</t>
        </is>
      </c>
      <c r="B220" t="inlineStr">
        <is>
          <t>Entity</t>
        </is>
      </c>
      <c r="C220" t="inlineStr">
        <is>
          <t>MTED_EDaM_Mapping_Note</t>
        </is>
      </c>
      <c r="D220" s="6" t="inlineStr">
        <is>
          <t>{\rtf1\ansi\ansicpg1252\deff0\nouicompat\deflang2057{\fonttbl{\f0\fnil\fcharset0 Times New Roman;}}</t>
        </is>
      </c>
      <c r="E220" s="6" t="inlineStr">
        <is>
          <t>{\rtf1\ansi\ansicpg1252\deff0\nouicompat\deflang2057{\fonttbl{\f0\fnil\fcharset0 Times New Roman;}}</t>
        </is>
      </c>
      <c r="F220" s="12" t="inlineStr">
        <is>
          <t>PASS</t>
        </is>
      </c>
      <c r="G220" t="inlineStr">
        <is>
          <t>BIM-core.MTED_EDaM_Mapping_Note</t>
        </is>
      </c>
      <c r="H220" s="6" t="n"/>
    </row>
    <row r="221">
      <c r="A221" t="inlineStr">
        <is>
          <t>APPLICATION_METHOD_UOM</t>
        </is>
      </c>
      <c r="B221" t="inlineStr">
        <is>
          <t>Entity</t>
        </is>
      </c>
      <c r="C221" t="inlineStr">
        <is>
          <t>MappingLevel</t>
        </is>
      </c>
      <c r="D221" s="6" t="inlineStr">
        <is>
          <t>Application Specific</t>
        </is>
      </c>
      <c r="E221" s="6" t="inlineStr">
        <is>
          <t>Application Specific</t>
        </is>
      </c>
      <c r="F221" s="12" t="inlineStr">
        <is>
          <t>PASS</t>
        </is>
      </c>
      <c r="G221" t="inlineStr">
        <is>
          <t>BIM-core.MappingLevel</t>
        </is>
      </c>
      <c r="H221" s="6" t="n"/>
    </row>
    <row r="222">
      <c r="A222" t="inlineStr">
        <is>
          <t>APPLICATION_METHOD_UOM</t>
        </is>
      </c>
      <c r="B222" t="inlineStr">
        <is>
          <t>Entity</t>
        </is>
      </c>
      <c r="C222" t="inlineStr">
        <is>
          <t>PD_ObjectID</t>
        </is>
      </c>
      <c r="D222" s="6" t="inlineStr">
        <is>
          <t>E9A268B8-0CD8-4119-B21B-FFF3F2ACB480</t>
        </is>
      </c>
      <c r="E222" s="6" t="inlineStr">
        <is>
          <t>E9A268B8-0CD8-4119-B21B-FFF3F2ACB480</t>
        </is>
      </c>
      <c r="F222" s="12" t="inlineStr">
        <is>
          <t>PASS</t>
        </is>
      </c>
      <c r="H222" s="6" t="n"/>
    </row>
    <row r="223">
      <c r="A223" t="inlineStr">
        <is>
          <t>APPLICATION_METHOD_UOM</t>
        </is>
      </c>
      <c r="B223" t="inlineStr">
        <is>
          <t>Entity</t>
        </is>
      </c>
      <c r="C223" t="inlineStr">
        <is>
          <t>PD_SourceExtraction</t>
        </is>
      </c>
      <c r="D223" s="6" t="inlineStr">
        <is>
          <t>46603045</t>
        </is>
      </c>
      <c r="E223" s="6" t="inlineStr">
        <is>
          <t>46603045</t>
        </is>
      </c>
      <c r="F223" s="12" t="inlineStr">
        <is>
          <t>PASS</t>
        </is>
      </c>
      <c r="H223" s="6" t="n"/>
    </row>
    <row r="224">
      <c r="A224" t="inlineStr">
        <is>
          <t>APPLICATION_METHOD_UOM</t>
        </is>
      </c>
      <c r="B224" t="inlineStr">
        <is>
          <t>Entity</t>
        </is>
      </c>
      <c r="C224" t="inlineStr">
        <is>
          <t>PD_SourceModel</t>
        </is>
      </c>
      <c r="D224" s="6" t="inlineStr">
        <is>
          <t>05_Carbon_Calculator</t>
        </is>
      </c>
      <c r="E224" s="6" t="inlineStr">
        <is>
          <t>05_Carbon_Calculator</t>
        </is>
      </c>
      <c r="F224" s="12" t="inlineStr">
        <is>
          <t>PASS</t>
        </is>
      </c>
      <c r="H224" s="6" t="n"/>
    </row>
    <row r="225">
      <c r="A225" t="inlineStr">
        <is>
          <t>APPLICATION_METHOD_UOM</t>
        </is>
      </c>
      <c r="B225" t="inlineStr">
        <is>
          <t>Entity</t>
        </is>
      </c>
      <c r="C225" t="inlineStr">
        <is>
          <t>SensitivePersonalData</t>
        </is>
      </c>
      <c r="D225" s="6" t="inlineStr">
        <is>
          <t>No Sensitive Personal Data</t>
        </is>
      </c>
      <c r="E225" s="6" t="inlineStr">
        <is>
          <t>No Sensitive Personal Data</t>
        </is>
      </c>
      <c r="F225" s="12" t="inlineStr">
        <is>
          <t>PASS</t>
        </is>
      </c>
      <c r="G225" t="inlineStr">
        <is>
          <t>BIM-core.SensitivePersonalData</t>
        </is>
      </c>
      <c r="H225" s="6" t="n"/>
    </row>
    <row r="226">
      <c r="A226" t="inlineStr">
        <is>
          <t>APPROVER_GROUPS</t>
        </is>
      </c>
      <c r="B226" t="inlineStr">
        <is>
          <t>Entity</t>
        </is>
      </c>
      <c r="C226" t="inlineStr">
        <is>
          <t>CommerciallySensitiveInformation</t>
        </is>
      </c>
      <c r="D226" s="6" t="inlineStr">
        <is>
          <t>No Commercially Sensitive Information</t>
        </is>
      </c>
      <c r="E226" s="6" t="inlineStr">
        <is>
          <t>No Commercially Sensitive Information</t>
        </is>
      </c>
      <c r="F226" s="12" t="inlineStr">
        <is>
          <t>PASS</t>
        </is>
      </c>
      <c r="G226" t="inlineStr">
        <is>
          <t>BIM-core.CommerciallySensitiveInformation</t>
        </is>
      </c>
      <c r="H226" s="6" t="n"/>
    </row>
    <row r="227">
      <c r="A227" t="inlineStr">
        <is>
          <t>APPROVER_GROUPS</t>
        </is>
      </c>
      <c r="B227" t="inlineStr">
        <is>
          <t>Entity</t>
        </is>
      </c>
      <c r="C227" t="inlineStr">
        <is>
          <t>Criticality</t>
        </is>
      </c>
      <c r="D227" s="6" t="inlineStr">
        <is>
          <t>No Critical Data</t>
        </is>
      </c>
      <c r="E227" s="6" t="inlineStr">
        <is>
          <t>No Critical Data</t>
        </is>
      </c>
      <c r="F227" s="12" t="inlineStr">
        <is>
          <t>PASS</t>
        </is>
      </c>
      <c r="G227" t="inlineStr">
        <is>
          <t>BIM-core.Criticality</t>
        </is>
      </c>
      <c r="H227" s="6" t="n"/>
    </row>
    <row r="228">
      <c r="A228" t="inlineStr">
        <is>
          <t>APPROVER_GROUPS</t>
        </is>
      </c>
      <c r="B228" t="inlineStr">
        <is>
          <t>Entity</t>
        </is>
      </c>
      <c r="C228" t="inlineStr">
        <is>
          <t>DataCategory</t>
        </is>
      </c>
      <c r="D228" s="6" t="inlineStr">
        <is>
          <t>Structured</t>
        </is>
      </c>
      <c r="E228" s="6" t="inlineStr">
        <is>
          <t>Structured</t>
        </is>
      </c>
      <c r="F228" s="12" t="inlineStr">
        <is>
          <t>PASS</t>
        </is>
      </c>
      <c r="G228" t="inlineStr">
        <is>
          <t>BIM-core.DataCategory</t>
        </is>
      </c>
      <c r="H228" s="6" t="n"/>
    </row>
    <row r="229">
      <c r="A229" t="inlineStr">
        <is>
          <t>APPROVER_GROUPS</t>
        </is>
      </c>
      <c r="B229" t="inlineStr">
        <is>
          <t>Entity</t>
        </is>
      </c>
      <c r="C229" t="inlineStr">
        <is>
          <t>DataConfidentiality</t>
        </is>
      </c>
      <c r="D229" s="6" t="inlineStr">
        <is>
          <t>Internal</t>
        </is>
      </c>
      <c r="E229" s="6" t="inlineStr">
        <is>
          <t>Internal</t>
        </is>
      </c>
      <c r="F229" s="12" t="inlineStr">
        <is>
          <t>PASS</t>
        </is>
      </c>
      <c r="G229" t="inlineStr">
        <is>
          <t>BIM-core.DataConfidentiality</t>
        </is>
      </c>
      <c r="H229" s="6" t="n"/>
    </row>
    <row r="230">
      <c r="A230" t="inlineStr">
        <is>
          <t>APPROVER_GROUPS</t>
        </is>
      </c>
      <c r="B230" t="inlineStr">
        <is>
          <t>Entity</t>
        </is>
      </c>
      <c r="C230" t="inlineStr">
        <is>
          <t>DesignStatus</t>
        </is>
      </c>
      <c r="D230" s="6" t="inlineStr">
        <is>
          <t>Approved</t>
        </is>
      </c>
      <c r="E230" s="6" t="inlineStr">
        <is>
          <t>Approved</t>
        </is>
      </c>
      <c r="F230" s="12" t="inlineStr">
        <is>
          <t>PASS</t>
        </is>
      </c>
      <c r="G230" t="inlineStr">
        <is>
          <t>BIM-core.DesignStatus</t>
        </is>
      </c>
      <c r="H230" s="6" t="n"/>
    </row>
    <row r="231">
      <c r="A231" t="inlineStr">
        <is>
          <t>APPROVER_GROUPS</t>
        </is>
      </c>
      <c r="B231" t="inlineStr">
        <is>
          <t>Entity</t>
        </is>
      </c>
      <c r="C231" t="inlineStr">
        <is>
          <t>EntityCategory</t>
        </is>
      </c>
      <c r="D231" s="6" t="inlineStr">
        <is>
          <t>Internal Reference</t>
        </is>
      </c>
      <c r="E231" s="6" t="inlineStr">
        <is>
          <t>Internal Reference</t>
        </is>
      </c>
      <c r="F231" s="12" t="inlineStr">
        <is>
          <t>PASS</t>
        </is>
      </c>
      <c r="G231" t="inlineStr">
        <is>
          <t>BIM-core.EntityCategory</t>
        </is>
      </c>
      <c r="H231" s="6" t="n"/>
    </row>
    <row r="232">
      <c r="A232" t="inlineStr">
        <is>
          <t>APPROVER_GROUPS</t>
        </is>
      </c>
      <c r="B232" t="inlineStr">
        <is>
          <t>Entity</t>
        </is>
      </c>
      <c r="C232" t="inlineStr">
        <is>
          <t>EntityPersonalData</t>
        </is>
      </c>
      <c r="D232" s="6" t="inlineStr">
        <is>
          <t>No Personal Data</t>
        </is>
      </c>
      <c r="E232" s="6" t="inlineStr">
        <is>
          <t>No Personal Data</t>
        </is>
      </c>
      <c r="F232" s="12" t="inlineStr">
        <is>
          <t>PASS</t>
        </is>
      </c>
      <c r="G232" t="inlineStr">
        <is>
          <t>BIM-core.EntityPersonalData</t>
        </is>
      </c>
      <c r="H232" s="6" t="n"/>
    </row>
    <row r="233">
      <c r="A233" t="inlineStr">
        <is>
          <t>APPROVER_GROUPS</t>
        </is>
      </c>
      <c r="B233" t="inlineStr">
        <is>
          <t>Entity</t>
        </is>
      </c>
      <c r="C233" t="inlineStr">
        <is>
          <t>FinancialPersonalData</t>
        </is>
      </c>
      <c r="D233" s="6" t="inlineStr">
        <is>
          <t>No Financial Personal Data</t>
        </is>
      </c>
      <c r="E233" s="6" t="inlineStr">
        <is>
          <t>No Financial Personal Data</t>
        </is>
      </c>
      <c r="F233" s="12" t="inlineStr">
        <is>
          <t>PASS</t>
        </is>
      </c>
      <c r="G233" t="inlineStr">
        <is>
          <t>BIM-core.FinancialPersonalData</t>
        </is>
      </c>
      <c r="H233" s="6" t="n"/>
    </row>
    <row r="234">
      <c r="A234" t="inlineStr">
        <is>
          <t>APPROVER_GROUPS</t>
        </is>
      </c>
      <c r="B234" t="inlineStr">
        <is>
          <t>Entity</t>
        </is>
      </c>
      <c r="C234" t="inlineStr">
        <is>
          <t>MTED_EDaM_Mapping_Note</t>
        </is>
      </c>
      <c r="D234" s="6" t="inlineStr">
        <is>
          <t>{\rtf1\ansi\ansicpg1252\deff0\nouicompat\deflang2057{\fonttbl{\f0\fnil\fcharset0 Times New Roman;}}</t>
        </is>
      </c>
      <c r="E234" s="6" t="inlineStr">
        <is>
          <t>{\rtf1\ansi\ansicpg1252\deff0\nouicompat\deflang2057{\fonttbl{\f0\fnil\fcharset0 Times New Roman;}}</t>
        </is>
      </c>
      <c r="F234" s="12" t="inlineStr">
        <is>
          <t>PASS</t>
        </is>
      </c>
      <c r="G234" t="inlineStr">
        <is>
          <t>BIM-core.MTED_EDaM_Mapping_Note</t>
        </is>
      </c>
      <c r="H234" s="6" t="n"/>
    </row>
    <row r="235">
      <c r="A235" t="inlineStr">
        <is>
          <t>APPROVER_GROUPS</t>
        </is>
      </c>
      <c r="B235" t="inlineStr">
        <is>
          <t>Entity</t>
        </is>
      </c>
      <c r="C235" t="inlineStr">
        <is>
          <t>MappingLevel</t>
        </is>
      </c>
      <c r="D235" s="6" t="inlineStr">
        <is>
          <t>Application Specific</t>
        </is>
      </c>
      <c r="E235" s="6" t="inlineStr">
        <is>
          <t>Application Specific</t>
        </is>
      </c>
      <c r="F235" s="12" t="inlineStr">
        <is>
          <t>PASS</t>
        </is>
      </c>
      <c r="G235" t="inlineStr">
        <is>
          <t>BIM-core.MappingLevel</t>
        </is>
      </c>
      <c r="H235" s="6" t="n"/>
    </row>
    <row r="236">
      <c r="A236" t="inlineStr">
        <is>
          <t>APPROVER_GROUPS</t>
        </is>
      </c>
      <c r="B236" t="inlineStr">
        <is>
          <t>Entity</t>
        </is>
      </c>
      <c r="C236" t="inlineStr">
        <is>
          <t>PD_ObjectID</t>
        </is>
      </c>
      <c r="D236" s="6" t="inlineStr">
        <is>
          <t>C0C779A4-27FA-44DA-85C6-6B9DFA3B1B3E</t>
        </is>
      </c>
      <c r="E236" s="6" t="inlineStr">
        <is>
          <t>C0C779A4-27FA-44DA-85C6-6B9DFA3B1B3E</t>
        </is>
      </c>
      <c r="F236" s="12" t="inlineStr">
        <is>
          <t>PASS</t>
        </is>
      </c>
      <c r="H236" s="6" t="n"/>
    </row>
    <row r="237">
      <c r="A237" t="inlineStr">
        <is>
          <t>APPROVER_GROUPS</t>
        </is>
      </c>
      <c r="B237" t="inlineStr">
        <is>
          <t>Entity</t>
        </is>
      </c>
      <c r="C237" t="inlineStr">
        <is>
          <t>PD_SourceExtraction</t>
        </is>
      </c>
      <c r="D237" s="6" t="inlineStr">
        <is>
          <t>46603045</t>
        </is>
      </c>
      <c r="E237" s="6" t="inlineStr">
        <is>
          <t>46603045</t>
        </is>
      </c>
      <c r="F237" s="12" t="inlineStr">
        <is>
          <t>PASS</t>
        </is>
      </c>
      <c r="H237" s="6" t="n"/>
    </row>
    <row r="238">
      <c r="A238" t="inlineStr">
        <is>
          <t>APPROVER_GROUPS</t>
        </is>
      </c>
      <c r="B238" t="inlineStr">
        <is>
          <t>Entity</t>
        </is>
      </c>
      <c r="C238" t="inlineStr">
        <is>
          <t>PD_SourceModel</t>
        </is>
      </c>
      <c r="D238" s="6" t="inlineStr">
        <is>
          <t>05_Carbon_Calculator</t>
        </is>
      </c>
      <c r="E238" s="6" t="inlineStr">
        <is>
          <t>05_Carbon_Calculator</t>
        </is>
      </c>
      <c r="F238" s="12" t="inlineStr">
        <is>
          <t>PASS</t>
        </is>
      </c>
      <c r="H238" s="6" t="n"/>
    </row>
    <row r="239">
      <c r="A239" t="inlineStr">
        <is>
          <t>APPROVER_GROUPS</t>
        </is>
      </c>
      <c r="B239" t="inlineStr">
        <is>
          <t>Entity</t>
        </is>
      </c>
      <c r="C239" t="inlineStr">
        <is>
          <t>SensitivePersonalData</t>
        </is>
      </c>
      <c r="D239" s="6" t="inlineStr">
        <is>
          <t>No Sensitive Personal Data</t>
        </is>
      </c>
      <c r="E239" s="6" t="inlineStr">
        <is>
          <t>No Sensitive Personal Data</t>
        </is>
      </c>
      <c r="F239" s="12" t="inlineStr">
        <is>
          <t>PASS</t>
        </is>
      </c>
      <c r="G239" t="inlineStr">
        <is>
          <t>BIM-core.SensitivePersonalData</t>
        </is>
      </c>
      <c r="H239" s="6" t="n"/>
    </row>
    <row r="240">
      <c r="A240" t="inlineStr">
        <is>
          <t>APPROVERS</t>
        </is>
      </c>
      <c r="B240" t="inlineStr">
        <is>
          <t>Entity</t>
        </is>
      </c>
      <c r="C240" t="inlineStr">
        <is>
          <t>CommerciallySensitiveInformation</t>
        </is>
      </c>
      <c r="D240" s="6" t="inlineStr">
        <is>
          <t>No Commercially Sensitive Information</t>
        </is>
      </c>
      <c r="E240" s="6" t="inlineStr">
        <is>
          <t>No Commercially Sensitive Information</t>
        </is>
      </c>
      <c r="F240" s="12" t="inlineStr">
        <is>
          <t>PASS</t>
        </is>
      </c>
      <c r="G240" t="inlineStr">
        <is>
          <t>BIM-core.CommerciallySensitiveInformation</t>
        </is>
      </c>
      <c r="H240" s="6" t="n"/>
    </row>
    <row r="241">
      <c r="A241" t="inlineStr">
        <is>
          <t>APPROVERS</t>
        </is>
      </c>
      <c r="B241" t="inlineStr">
        <is>
          <t>Entity</t>
        </is>
      </c>
      <c r="C241" t="inlineStr">
        <is>
          <t>Criticality</t>
        </is>
      </c>
      <c r="D241" s="6" t="inlineStr">
        <is>
          <t>No Critical Data</t>
        </is>
      </c>
      <c r="E241" s="6" t="inlineStr">
        <is>
          <t>No Critical Data</t>
        </is>
      </c>
      <c r="F241" s="12" t="inlineStr">
        <is>
          <t>PASS</t>
        </is>
      </c>
      <c r="G241" t="inlineStr">
        <is>
          <t>BIM-core.Criticality</t>
        </is>
      </c>
      <c r="H241" s="6" t="n"/>
    </row>
    <row r="242">
      <c r="A242" t="inlineStr">
        <is>
          <t>APPROVERS</t>
        </is>
      </c>
      <c r="B242" t="inlineStr">
        <is>
          <t>Entity</t>
        </is>
      </c>
      <c r="C242" t="inlineStr">
        <is>
          <t>DataCategory</t>
        </is>
      </c>
      <c r="D242" s="6" t="inlineStr">
        <is>
          <t>Structured</t>
        </is>
      </c>
      <c r="E242" s="6" t="inlineStr">
        <is>
          <t>Structured</t>
        </is>
      </c>
      <c r="F242" s="12" t="inlineStr">
        <is>
          <t>PASS</t>
        </is>
      </c>
      <c r="G242" t="inlineStr">
        <is>
          <t>BIM-core.DataCategory</t>
        </is>
      </c>
      <c r="H242" s="6" t="n"/>
    </row>
    <row r="243">
      <c r="A243" t="inlineStr">
        <is>
          <t>APPROVERS</t>
        </is>
      </c>
      <c r="B243" t="inlineStr">
        <is>
          <t>Entity</t>
        </is>
      </c>
      <c r="C243" t="inlineStr">
        <is>
          <t>DataConfidentiality</t>
        </is>
      </c>
      <c r="D243" s="6" t="inlineStr">
        <is>
          <t>Internal</t>
        </is>
      </c>
      <c r="E243" s="6" t="inlineStr">
        <is>
          <t>Internal</t>
        </is>
      </c>
      <c r="F243" s="12" t="inlineStr">
        <is>
          <t>PASS</t>
        </is>
      </c>
      <c r="G243" t="inlineStr">
        <is>
          <t>BIM-core.DataConfidentiality</t>
        </is>
      </c>
      <c r="H243" s="6" t="n"/>
    </row>
    <row r="244">
      <c r="A244" t="inlineStr">
        <is>
          <t>APPROVERS</t>
        </is>
      </c>
      <c r="B244" t="inlineStr">
        <is>
          <t>Entity</t>
        </is>
      </c>
      <c r="C244" t="inlineStr">
        <is>
          <t>DesignStatus</t>
        </is>
      </c>
      <c r="D244" s="6" t="inlineStr">
        <is>
          <t>Approved</t>
        </is>
      </c>
      <c r="E244" s="6" t="inlineStr">
        <is>
          <t>Approved</t>
        </is>
      </c>
      <c r="F244" s="12" t="inlineStr">
        <is>
          <t>PASS</t>
        </is>
      </c>
      <c r="G244" t="inlineStr">
        <is>
          <t>BIM-core.DesignStatus</t>
        </is>
      </c>
      <c r="H244" s="6" t="n"/>
    </row>
    <row r="245">
      <c r="A245" t="inlineStr">
        <is>
          <t>APPROVERS</t>
        </is>
      </c>
      <c r="B245" t="inlineStr">
        <is>
          <t>Entity</t>
        </is>
      </c>
      <c r="C245" t="inlineStr">
        <is>
          <t>EntityCategory</t>
        </is>
      </c>
      <c r="D245" s="6" t="inlineStr">
        <is>
          <t>Internal Reference</t>
        </is>
      </c>
      <c r="E245" s="6" t="inlineStr">
        <is>
          <t>Internal Reference</t>
        </is>
      </c>
      <c r="F245" s="12" t="inlineStr">
        <is>
          <t>PASS</t>
        </is>
      </c>
      <c r="G245" t="inlineStr">
        <is>
          <t>BIM-core.EntityCategory</t>
        </is>
      </c>
      <c r="H245" s="6" t="n"/>
    </row>
    <row r="246">
      <c r="A246" t="inlineStr">
        <is>
          <t>APPROVERS</t>
        </is>
      </c>
      <c r="B246" t="inlineStr">
        <is>
          <t>Entity</t>
        </is>
      </c>
      <c r="C246" t="inlineStr">
        <is>
          <t>EntityPersonalData</t>
        </is>
      </c>
      <c r="D246" s="6" t="inlineStr">
        <is>
          <t>No Personal Data</t>
        </is>
      </c>
      <c r="E246" s="6" t="inlineStr">
        <is>
          <t>No Personal Data</t>
        </is>
      </c>
      <c r="F246" s="12" t="inlineStr">
        <is>
          <t>PASS</t>
        </is>
      </c>
      <c r="G246" t="inlineStr">
        <is>
          <t>BIM-core.EntityPersonalData</t>
        </is>
      </c>
      <c r="H246" s="6" t="n"/>
    </row>
    <row r="247">
      <c r="A247" t="inlineStr">
        <is>
          <t>APPROVERS</t>
        </is>
      </c>
      <c r="B247" t="inlineStr">
        <is>
          <t>Entity</t>
        </is>
      </c>
      <c r="C247" t="inlineStr">
        <is>
          <t>FinancialPersonalData</t>
        </is>
      </c>
      <c r="D247" s="6" t="inlineStr">
        <is>
          <t>No Financial Personal Data</t>
        </is>
      </c>
      <c r="E247" s="6" t="inlineStr">
        <is>
          <t>No Financial Personal Data</t>
        </is>
      </c>
      <c r="F247" s="12" t="inlineStr">
        <is>
          <t>PASS</t>
        </is>
      </c>
      <c r="G247" t="inlineStr">
        <is>
          <t>BIM-core.FinancialPersonalData</t>
        </is>
      </c>
      <c r="H247" s="6" t="n"/>
    </row>
    <row r="248">
      <c r="A248" t="inlineStr">
        <is>
          <t>APPROVERS</t>
        </is>
      </c>
      <c r="B248" t="inlineStr">
        <is>
          <t>Entity</t>
        </is>
      </c>
      <c r="C248" t="inlineStr">
        <is>
          <t>MTED_EDaM_Mapping_Note</t>
        </is>
      </c>
      <c r="D248" s="6" t="inlineStr">
        <is>
          <t>{\rtf1\ansi\ansicpg1252\deff0\nouicompat\deflang2057{\fonttbl{\f0\fnil\fcharset0 Times New Roman;}}</t>
        </is>
      </c>
      <c r="E248" s="6" t="inlineStr">
        <is>
          <t>{\rtf1\ansi\ansicpg1252\deff0\nouicompat\deflang2057{\fonttbl{\f0\fnil\fcharset0 Times New Roman;}}</t>
        </is>
      </c>
      <c r="F248" s="12" t="inlineStr">
        <is>
          <t>PASS</t>
        </is>
      </c>
      <c r="G248" t="inlineStr">
        <is>
          <t>BIM-core.MTED_EDaM_Mapping_Note</t>
        </is>
      </c>
      <c r="H248" s="6" t="n"/>
    </row>
    <row r="249">
      <c r="A249" t="inlineStr">
        <is>
          <t>APPROVERS</t>
        </is>
      </c>
      <c r="B249" t="inlineStr">
        <is>
          <t>Entity</t>
        </is>
      </c>
      <c r="C249" t="inlineStr">
        <is>
          <t>MappingLevel</t>
        </is>
      </c>
      <c r="D249" s="6" t="inlineStr">
        <is>
          <t>Application Specific</t>
        </is>
      </c>
      <c r="E249" s="6" t="inlineStr">
        <is>
          <t>Application Specific</t>
        </is>
      </c>
      <c r="F249" s="12" t="inlineStr">
        <is>
          <t>PASS</t>
        </is>
      </c>
      <c r="G249" t="inlineStr">
        <is>
          <t>BIM-core.MappingLevel</t>
        </is>
      </c>
      <c r="H249" s="6" t="n"/>
    </row>
    <row r="250">
      <c r="A250" t="inlineStr">
        <is>
          <t>APPROVERS</t>
        </is>
      </c>
      <c r="B250" t="inlineStr">
        <is>
          <t>Entity</t>
        </is>
      </c>
      <c r="C250" t="inlineStr">
        <is>
          <t>PD_ObjectID</t>
        </is>
      </c>
      <c r="D250" s="6" t="inlineStr">
        <is>
          <t>B4297F53-8A75-446C-8927-91729CDB59B5</t>
        </is>
      </c>
      <c r="E250" s="6" t="inlineStr">
        <is>
          <t>B4297F53-8A75-446C-8927-91729CDB59B5</t>
        </is>
      </c>
      <c r="F250" s="12" t="inlineStr">
        <is>
          <t>PASS</t>
        </is>
      </c>
      <c r="H250" s="6" t="n"/>
    </row>
    <row r="251">
      <c r="A251" t="inlineStr">
        <is>
          <t>APPROVERS</t>
        </is>
      </c>
      <c r="B251" t="inlineStr">
        <is>
          <t>Entity</t>
        </is>
      </c>
      <c r="C251" t="inlineStr">
        <is>
          <t>PD_SourceExtraction</t>
        </is>
      </c>
      <c r="D251" s="6" t="inlineStr">
        <is>
          <t>46603045</t>
        </is>
      </c>
      <c r="E251" s="6" t="inlineStr">
        <is>
          <t>46603045</t>
        </is>
      </c>
      <c r="F251" s="12" t="inlineStr">
        <is>
          <t>PASS</t>
        </is>
      </c>
      <c r="H251" s="6" t="n"/>
    </row>
    <row r="252">
      <c r="A252" t="inlineStr">
        <is>
          <t>APPROVERS</t>
        </is>
      </c>
      <c r="B252" t="inlineStr">
        <is>
          <t>Entity</t>
        </is>
      </c>
      <c r="C252" t="inlineStr">
        <is>
          <t>PD_SourceModel</t>
        </is>
      </c>
      <c r="D252" s="6" t="inlineStr">
        <is>
          <t>05_Carbon_Calculator</t>
        </is>
      </c>
      <c r="E252" s="6" t="inlineStr">
        <is>
          <t>05_Carbon_Calculator</t>
        </is>
      </c>
      <c r="F252" s="12" t="inlineStr">
        <is>
          <t>PASS</t>
        </is>
      </c>
      <c r="H252" s="6" t="n"/>
    </row>
    <row r="253">
      <c r="A253" t="inlineStr">
        <is>
          <t>APPROVERS</t>
        </is>
      </c>
      <c r="B253" t="inlineStr">
        <is>
          <t>Entity</t>
        </is>
      </c>
      <c r="C253" t="inlineStr">
        <is>
          <t>SensitivePersonalData</t>
        </is>
      </c>
      <c r="D253" s="6" t="inlineStr">
        <is>
          <t>No Sensitive Personal Data</t>
        </is>
      </c>
      <c r="E253" s="6" t="inlineStr">
        <is>
          <t>No Sensitive Personal Data</t>
        </is>
      </c>
      <c r="F253" s="12" t="inlineStr">
        <is>
          <t>PASS</t>
        </is>
      </c>
      <c r="G253" t="inlineStr">
        <is>
          <t>BIM-core.SensitivePersonalData</t>
        </is>
      </c>
      <c r="H253" s="6" t="n"/>
    </row>
    <row r="254">
      <c r="A254" t="inlineStr">
        <is>
          <t>ARCHETYPE_REGION</t>
        </is>
      </c>
      <c r="B254" t="inlineStr">
        <is>
          <t>Entity</t>
        </is>
      </c>
      <c r="C254" t="inlineStr">
        <is>
          <t>CommerciallySensitiveInformation</t>
        </is>
      </c>
      <c r="D254" s="6" t="inlineStr">
        <is>
          <t>No Commercially Sensitive Information</t>
        </is>
      </c>
      <c r="E254" s="6" t="inlineStr">
        <is>
          <t>No Commercially Sensitive Information</t>
        </is>
      </c>
      <c r="F254" s="12" t="inlineStr">
        <is>
          <t>PASS</t>
        </is>
      </c>
      <c r="G254" t="inlineStr">
        <is>
          <t>BIM-core.CommerciallySensitiveInformation</t>
        </is>
      </c>
      <c r="H254" s="6" t="n"/>
    </row>
    <row r="255">
      <c r="A255" t="inlineStr">
        <is>
          <t>ARCHETYPE_REGION</t>
        </is>
      </c>
      <c r="B255" t="inlineStr">
        <is>
          <t>Entity</t>
        </is>
      </c>
      <c r="C255" t="inlineStr">
        <is>
          <t>Criticality</t>
        </is>
      </c>
      <c r="D255" s="6" t="inlineStr">
        <is>
          <t>No Critical Data</t>
        </is>
      </c>
      <c r="E255" s="6" t="inlineStr">
        <is>
          <t>No Critical Data</t>
        </is>
      </c>
      <c r="F255" s="12" t="inlineStr">
        <is>
          <t>PASS</t>
        </is>
      </c>
      <c r="G255" t="inlineStr">
        <is>
          <t>BIM-core.Criticality</t>
        </is>
      </c>
      <c r="H255" s="6" t="n"/>
    </row>
    <row r="256">
      <c r="A256" t="inlineStr">
        <is>
          <t>ARCHETYPE_REGION</t>
        </is>
      </c>
      <c r="B256" t="inlineStr">
        <is>
          <t>Entity</t>
        </is>
      </c>
      <c r="C256" t="inlineStr">
        <is>
          <t>DataCategory</t>
        </is>
      </c>
      <c r="D256" s="6" t="inlineStr">
        <is>
          <t>Structured</t>
        </is>
      </c>
      <c r="E256" s="6" t="inlineStr">
        <is>
          <t>Structured</t>
        </is>
      </c>
      <c r="F256" s="12" t="inlineStr">
        <is>
          <t>PASS</t>
        </is>
      </c>
      <c r="G256" t="inlineStr">
        <is>
          <t>BIM-core.DataCategory</t>
        </is>
      </c>
      <c r="H256" s="6" t="n"/>
    </row>
    <row r="257">
      <c r="A257" t="inlineStr">
        <is>
          <t>ARCHETYPE_REGION</t>
        </is>
      </c>
      <c r="B257" t="inlineStr">
        <is>
          <t>Entity</t>
        </is>
      </c>
      <c r="C257" t="inlineStr">
        <is>
          <t>DataConfidentiality</t>
        </is>
      </c>
      <c r="D257" s="6" t="inlineStr">
        <is>
          <t>Internal</t>
        </is>
      </c>
      <c r="E257" s="6" t="inlineStr">
        <is>
          <t>Internal</t>
        </is>
      </c>
      <c r="F257" s="12" t="inlineStr">
        <is>
          <t>PASS</t>
        </is>
      </c>
      <c r="G257" t="inlineStr">
        <is>
          <t>BIM-core.DataConfidentiality</t>
        </is>
      </c>
      <c r="H257" s="6" t="n"/>
    </row>
    <row r="258">
      <c r="A258" t="inlineStr">
        <is>
          <t>ARCHETYPE_REGION</t>
        </is>
      </c>
      <c r="B258" t="inlineStr">
        <is>
          <t>Entity</t>
        </is>
      </c>
      <c r="C258" t="inlineStr">
        <is>
          <t>DesignStatus</t>
        </is>
      </c>
      <c r="D258" s="6" t="inlineStr">
        <is>
          <t>Approved</t>
        </is>
      </c>
      <c r="E258" s="6" t="inlineStr">
        <is>
          <t>Approved</t>
        </is>
      </c>
      <c r="F258" s="12" t="inlineStr">
        <is>
          <t>PASS</t>
        </is>
      </c>
      <c r="G258" t="inlineStr">
        <is>
          <t>BIM-core.DesignStatus</t>
        </is>
      </c>
      <c r="H258" s="6" t="n"/>
    </row>
    <row r="259">
      <c r="A259" t="inlineStr">
        <is>
          <t>ARCHETYPE_REGION</t>
        </is>
      </c>
      <c r="B259" t="inlineStr">
        <is>
          <t>Entity</t>
        </is>
      </c>
      <c r="C259" t="inlineStr">
        <is>
          <t>EntityCategory</t>
        </is>
      </c>
      <c r="D259" s="6" t="inlineStr">
        <is>
          <t>Master</t>
        </is>
      </c>
      <c r="E259" s="6" t="inlineStr">
        <is>
          <t>Master</t>
        </is>
      </c>
      <c r="F259" s="12" t="inlineStr">
        <is>
          <t>PASS</t>
        </is>
      </c>
      <c r="G259" t="inlineStr">
        <is>
          <t>BIM-core.EntityCategory</t>
        </is>
      </c>
      <c r="H259" s="6" t="n"/>
    </row>
    <row r="260">
      <c r="A260" t="inlineStr">
        <is>
          <t>ARCHETYPE_REGION</t>
        </is>
      </c>
      <c r="B260" t="inlineStr">
        <is>
          <t>Entity</t>
        </is>
      </c>
      <c r="C260" t="inlineStr">
        <is>
          <t>EntityPersonalData</t>
        </is>
      </c>
      <c r="D260" s="6" t="inlineStr">
        <is>
          <t>No Personal Data</t>
        </is>
      </c>
      <c r="E260" s="6" t="inlineStr">
        <is>
          <t>No Personal Data</t>
        </is>
      </c>
      <c r="F260" s="12" t="inlineStr">
        <is>
          <t>PASS</t>
        </is>
      </c>
      <c r="G260" t="inlineStr">
        <is>
          <t>BIM-core.EntityPersonalData</t>
        </is>
      </c>
      <c r="H260" s="6" t="n"/>
    </row>
    <row r="261">
      <c r="A261" t="inlineStr">
        <is>
          <t>ARCHETYPE_REGION</t>
        </is>
      </c>
      <c r="B261" t="inlineStr">
        <is>
          <t>Entity</t>
        </is>
      </c>
      <c r="C261" t="inlineStr">
        <is>
          <t>FinancialPersonalData</t>
        </is>
      </c>
      <c r="D261" s="6" t="inlineStr">
        <is>
          <t>No Financial Personal Data</t>
        </is>
      </c>
      <c r="E261" s="6" t="inlineStr">
        <is>
          <t>No Financial Personal Data</t>
        </is>
      </c>
      <c r="F261" s="12" t="inlineStr">
        <is>
          <t>PASS</t>
        </is>
      </c>
      <c r="G261" t="inlineStr">
        <is>
          <t>BIM-core.FinancialPersonalData</t>
        </is>
      </c>
      <c r="H261" s="6" t="n"/>
    </row>
    <row r="262">
      <c r="A262" t="inlineStr">
        <is>
          <t>ARCHETYPE_REGION</t>
        </is>
      </c>
      <c r="B262" t="inlineStr">
        <is>
          <t>Entity</t>
        </is>
      </c>
      <c r="C262" t="inlineStr">
        <is>
          <t>MappingLevel</t>
        </is>
      </c>
      <c r="D262" s="6" t="inlineStr">
        <is>
          <t>BLM</t>
        </is>
      </c>
      <c r="E262" s="6" t="inlineStr">
        <is>
          <t>BLM</t>
        </is>
      </c>
      <c r="F262" s="12" t="inlineStr">
        <is>
          <t>PASS</t>
        </is>
      </c>
      <c r="G262" t="inlineStr">
        <is>
          <t>BIM-core.MappingLevel</t>
        </is>
      </c>
      <c r="H262" s="6" t="n"/>
    </row>
    <row r="263">
      <c r="A263" t="inlineStr">
        <is>
          <t>ARCHETYPE_REGION</t>
        </is>
      </c>
      <c r="B263" t="inlineStr">
        <is>
          <t>Entity</t>
        </is>
      </c>
      <c r="C263" t="inlineStr">
        <is>
          <t>MapsToEntity</t>
        </is>
      </c>
      <c r="D263" s="6" t="inlineStr">
        <is>
          <t>REGION_ARCHETYPE</t>
        </is>
      </c>
      <c r="E263" s="6" t="inlineStr">
        <is>
          <t>REGION_ARCHETYPE</t>
        </is>
      </c>
      <c r="F263" s="12" t="inlineStr">
        <is>
          <t>PASS</t>
        </is>
      </c>
      <c r="G263" t="inlineStr">
        <is>
          <t>BIM-core.MapsToEntity</t>
        </is>
      </c>
      <c r="H263" s="6" t="n"/>
    </row>
    <row r="264">
      <c r="A264" t="inlineStr">
        <is>
          <t>ARCHETYPE_REGION</t>
        </is>
      </c>
      <c r="B264" t="inlineStr">
        <is>
          <t>Entity</t>
        </is>
      </c>
      <c r="C264" t="inlineStr">
        <is>
          <t>PD_ObjectID</t>
        </is>
      </c>
      <c r="D264" s="6" t="inlineStr">
        <is>
          <t>F2ADDFCA-55C1-4FD2-86B6-370936853505</t>
        </is>
      </c>
      <c r="E264" s="6" t="inlineStr">
        <is>
          <t>F2ADDFCA-55C1-4FD2-86B6-370936853505</t>
        </is>
      </c>
      <c r="F264" s="12" t="inlineStr">
        <is>
          <t>PASS</t>
        </is>
      </c>
      <c r="H264" s="6" t="n"/>
    </row>
    <row r="265">
      <c r="A265" t="inlineStr">
        <is>
          <t>ARCHETYPE_REGION</t>
        </is>
      </c>
      <c r="B265" t="inlineStr">
        <is>
          <t>Entity</t>
        </is>
      </c>
      <c r="C265" t="inlineStr">
        <is>
          <t>PD_SourceExtraction</t>
        </is>
      </c>
      <c r="D265" s="6" t="inlineStr">
        <is>
          <t>46603045</t>
        </is>
      </c>
      <c r="E265" s="6" t="inlineStr">
        <is>
          <t>46603045</t>
        </is>
      </c>
      <c r="F265" s="12" t="inlineStr">
        <is>
          <t>PASS</t>
        </is>
      </c>
      <c r="H265" s="6" t="n"/>
    </row>
    <row r="266">
      <c r="A266" t="inlineStr">
        <is>
          <t>ARCHETYPE_REGION</t>
        </is>
      </c>
      <c r="B266" t="inlineStr">
        <is>
          <t>Entity</t>
        </is>
      </c>
      <c r="C266" t="inlineStr">
        <is>
          <t>PD_SourceModel</t>
        </is>
      </c>
      <c r="D266" s="6" t="inlineStr">
        <is>
          <t>05_Carbon_Calculator</t>
        </is>
      </c>
      <c r="E266" s="6" t="inlineStr">
        <is>
          <t>05_Carbon_Calculator</t>
        </is>
      </c>
      <c r="F266" s="12" t="inlineStr">
        <is>
          <t>PASS</t>
        </is>
      </c>
      <c r="H266" s="6" t="n"/>
    </row>
    <row r="267">
      <c r="A267" t="inlineStr">
        <is>
          <t>ARCHETYPE_REGION</t>
        </is>
      </c>
      <c r="B267" t="inlineStr">
        <is>
          <t>Entity</t>
        </is>
      </c>
      <c r="C267" t="inlineStr">
        <is>
          <t>SensitivePersonalData</t>
        </is>
      </c>
      <c r="D267" s="6" t="inlineStr">
        <is>
          <t>No Sensitive Personal Data</t>
        </is>
      </c>
      <c r="E267" s="6" t="inlineStr">
        <is>
          <t>No Sensitive Personal Data</t>
        </is>
      </c>
      <c r="F267" s="12" t="inlineStr">
        <is>
          <t>PASS</t>
        </is>
      </c>
      <c r="G267" t="inlineStr">
        <is>
          <t>BIM-core.SensitivePersonalData</t>
        </is>
      </c>
      <c r="H267" s="6" t="n"/>
    </row>
    <row r="268">
      <c r="A268" t="inlineStr">
        <is>
          <t>CLIENT</t>
        </is>
      </c>
      <c r="B268" t="inlineStr">
        <is>
          <t>Entity</t>
        </is>
      </c>
      <c r="C268" t="inlineStr">
        <is>
          <t>CSI</t>
        </is>
      </c>
      <c r="D268" s="6" t="inlineStr">
        <is>
          <t>false</t>
        </is>
      </c>
      <c r="E268" s="6" t="inlineStr">
        <is>
          <t>false</t>
        </is>
      </c>
      <c r="F268" s="12" t="inlineStr">
        <is>
          <t>PASS</t>
        </is>
      </c>
      <c r="G268" t="inlineStr">
        <is>
          <t>SHL_LDM_EntityPropertyExtension.CSI</t>
        </is>
      </c>
      <c r="H268" s="6" t="n"/>
    </row>
    <row r="269">
      <c r="A269" t="inlineStr">
        <is>
          <t>CLIENT</t>
        </is>
      </c>
      <c r="B269" t="inlineStr">
        <is>
          <t>Entity</t>
        </is>
      </c>
      <c r="C269" t="inlineStr">
        <is>
          <t>CommerciallySensitiveInformation</t>
        </is>
      </c>
      <c r="D269" s="6" t="inlineStr">
        <is>
          <t>No Commercially Sensitive Information</t>
        </is>
      </c>
      <c r="E269" s="6" t="inlineStr">
        <is>
          <t>No Commercially Sensitive Information</t>
        </is>
      </c>
      <c r="F269" s="12" t="inlineStr">
        <is>
          <t>PASS</t>
        </is>
      </c>
      <c r="G269" t="inlineStr">
        <is>
          <t>BIM-core.CommerciallySensitiveInformation</t>
        </is>
      </c>
      <c r="H269" s="6" t="n"/>
    </row>
    <row r="270">
      <c r="A270" t="inlineStr">
        <is>
          <t>CLIENT</t>
        </is>
      </c>
      <c r="B270" t="inlineStr">
        <is>
          <t>Entity</t>
        </is>
      </c>
      <c r="C270" t="inlineStr">
        <is>
          <t>Criticality</t>
        </is>
      </c>
      <c r="D270" s="6" t="inlineStr">
        <is>
          <t>No Critical Data</t>
        </is>
      </c>
      <c r="E270" s="6" t="inlineStr">
        <is>
          <t>No Critical Data</t>
        </is>
      </c>
      <c r="F270" s="12" t="inlineStr">
        <is>
          <t>PASS</t>
        </is>
      </c>
      <c r="G270" t="inlineStr">
        <is>
          <t>BIM-core.Criticality</t>
        </is>
      </c>
      <c r="H270" s="6" t="n"/>
    </row>
    <row r="271">
      <c r="A271" t="inlineStr">
        <is>
          <t>CLIENT</t>
        </is>
      </c>
      <c r="B271" t="inlineStr">
        <is>
          <t>Entity</t>
        </is>
      </c>
      <c r="C271" t="inlineStr">
        <is>
          <t>DataCategory</t>
        </is>
      </c>
      <c r="D271" s="6" t="inlineStr">
        <is>
          <t>Structured</t>
        </is>
      </c>
      <c r="E271" s="6" t="inlineStr">
        <is>
          <t>Structured</t>
        </is>
      </c>
      <c r="F271" s="12" t="inlineStr">
        <is>
          <t>PASS</t>
        </is>
      </c>
      <c r="G271" t="inlineStr">
        <is>
          <t>BIM-core.DataCategory</t>
        </is>
      </c>
      <c r="H271" s="6" t="n"/>
    </row>
    <row r="272">
      <c r="A272" t="inlineStr">
        <is>
          <t>CLIENT</t>
        </is>
      </c>
      <c r="B272" t="inlineStr">
        <is>
          <t>Entity</t>
        </is>
      </c>
      <c r="C272" t="inlineStr">
        <is>
          <t>DataConfidentiality</t>
        </is>
      </c>
      <c r="D272" s="6" t="inlineStr">
        <is>
          <t>Internal</t>
        </is>
      </c>
      <c r="E272" s="6" t="inlineStr">
        <is>
          <t>Internal</t>
        </is>
      </c>
      <c r="F272" s="12" t="inlineStr">
        <is>
          <t>PASS</t>
        </is>
      </c>
      <c r="G272" t="inlineStr">
        <is>
          <t>BIM-core.DataConfidentiality</t>
        </is>
      </c>
      <c r="H272" s="6" t="n"/>
    </row>
    <row r="273">
      <c r="A273" t="inlineStr">
        <is>
          <t>CLIENT</t>
        </is>
      </c>
      <c r="B273" t="inlineStr">
        <is>
          <t>Entity</t>
        </is>
      </c>
      <c r="C273" t="inlineStr">
        <is>
          <t>DesignStatus</t>
        </is>
      </c>
      <c r="D273" s="6" t="inlineStr">
        <is>
          <t>Approved</t>
        </is>
      </c>
      <c r="E273" s="6" t="inlineStr">
        <is>
          <t>Approved</t>
        </is>
      </c>
      <c r="F273" s="12" t="inlineStr">
        <is>
          <t>PASS</t>
        </is>
      </c>
      <c r="G273" t="inlineStr">
        <is>
          <t>BIM-core.DesignStatus</t>
        </is>
      </c>
      <c r="H273" s="6" t="n"/>
    </row>
    <row r="274">
      <c r="A274" t="inlineStr">
        <is>
          <t>CLIENT</t>
        </is>
      </c>
      <c r="B274" t="inlineStr">
        <is>
          <t>Entity</t>
        </is>
      </c>
      <c r="C274" t="inlineStr">
        <is>
          <t>EntityCategory</t>
        </is>
      </c>
      <c r="D274" s="6" t="inlineStr">
        <is>
          <t>Master</t>
        </is>
      </c>
      <c r="E274" s="6" t="inlineStr">
        <is>
          <t>Master</t>
        </is>
      </c>
      <c r="F274" s="12" t="inlineStr">
        <is>
          <t>PASS</t>
        </is>
      </c>
      <c r="G274" t="inlineStr">
        <is>
          <t>BIM-core.EntityCategory</t>
        </is>
      </c>
      <c r="H274" s="6" t="n"/>
    </row>
    <row r="275">
      <c r="A275" t="inlineStr">
        <is>
          <t>CLIENT</t>
        </is>
      </c>
      <c r="B275" t="inlineStr">
        <is>
          <t>Entity</t>
        </is>
      </c>
      <c r="C275" t="inlineStr">
        <is>
          <t>EntityPersonalData</t>
        </is>
      </c>
      <c r="D275" s="6" t="inlineStr">
        <is>
          <t>No Personal Data</t>
        </is>
      </c>
      <c r="E275" s="6" t="inlineStr">
        <is>
          <t>No Personal Data</t>
        </is>
      </c>
      <c r="F275" s="12" t="inlineStr">
        <is>
          <t>PASS</t>
        </is>
      </c>
      <c r="G275" t="inlineStr">
        <is>
          <t>BIM-core.EntityPersonalData</t>
        </is>
      </c>
      <c r="H275" s="6" t="n"/>
    </row>
    <row r="276">
      <c r="A276" t="inlineStr">
        <is>
          <t>CLIENT</t>
        </is>
      </c>
      <c r="B276" t="inlineStr">
        <is>
          <t>Entity</t>
        </is>
      </c>
      <c r="C276" t="inlineStr">
        <is>
          <t>FinancialPersonalData</t>
        </is>
      </c>
      <c r="D276" s="6" t="inlineStr">
        <is>
          <t>No Financial Personal Data</t>
        </is>
      </c>
      <c r="E276" s="6" t="inlineStr">
        <is>
          <t>No Financial Personal Data</t>
        </is>
      </c>
      <c r="F276" s="12" t="inlineStr">
        <is>
          <t>PASS</t>
        </is>
      </c>
      <c r="G276" t="inlineStr">
        <is>
          <t>BIM-core.FinancialPersonalData</t>
        </is>
      </c>
      <c r="H276" s="6" t="n"/>
    </row>
    <row r="277">
      <c r="A277" t="inlineStr">
        <is>
          <t>CLIENT</t>
        </is>
      </c>
      <c r="B277" t="inlineStr">
        <is>
          <t>Entity</t>
        </is>
      </c>
      <c r="C277" t="inlineStr">
        <is>
          <t>MTED_EDaM_Mapping_Note</t>
        </is>
      </c>
      <c r="D277" s="6" t="inlineStr">
        <is>
          <t>{\rtf1\ansi\ansicpg1252\deff0\nouicompat\deflang2057{\fonttbl{\f0\fnil\fcharset0 Times New Roman;}}</t>
        </is>
      </c>
      <c r="E277" s="6" t="inlineStr">
        <is>
          <t>{\rtf1\ansi\ansicpg1252\deff0\nouicompat\deflang2057{\fonttbl{\f0\fnil\fcharset0 Times New Roman;}}</t>
        </is>
      </c>
      <c r="F277" s="12" t="inlineStr">
        <is>
          <t>PASS</t>
        </is>
      </c>
      <c r="G277" t="inlineStr">
        <is>
          <t>BIM-core.MTED_EDaM_Mapping_Note</t>
        </is>
      </c>
      <c r="H277" s="6" t="n"/>
    </row>
    <row r="278">
      <c r="A278" t="inlineStr">
        <is>
          <t>CLIENT</t>
        </is>
      </c>
      <c r="B278" t="inlineStr">
        <is>
          <t>Entity</t>
        </is>
      </c>
      <c r="C278" t="inlineStr">
        <is>
          <t>MTED_Encryption_Required</t>
        </is>
      </c>
      <c r="D278" s="6" t="inlineStr">
        <is>
          <t>false</t>
        </is>
      </c>
      <c r="E278" s="6" t="inlineStr">
        <is>
          <t>false</t>
        </is>
      </c>
      <c r="F278" s="12" t="inlineStr">
        <is>
          <t>PASS</t>
        </is>
      </c>
      <c r="G278" t="inlineStr">
        <is>
          <t>SHL_LDM_EntityPropertyExtension.MTED_Encryption_Required</t>
        </is>
      </c>
      <c r="H278" s="6" t="n"/>
    </row>
    <row r="279">
      <c r="A279" t="inlineStr">
        <is>
          <t>CLIENT</t>
        </is>
      </c>
      <c r="B279" t="inlineStr">
        <is>
          <t>Entity</t>
        </is>
      </c>
      <c r="C279" t="inlineStr">
        <is>
          <t>MappingLevel</t>
        </is>
      </c>
      <c r="D279" s="6" t="inlineStr">
        <is>
          <t>Application Specific</t>
        </is>
      </c>
      <c r="E279" s="6" t="inlineStr">
        <is>
          <t>Application Specific</t>
        </is>
      </c>
      <c r="F279" s="12" t="inlineStr">
        <is>
          <t>PASS</t>
        </is>
      </c>
      <c r="G279" t="inlineStr">
        <is>
          <t>BIM-core.MappingLevel</t>
        </is>
      </c>
      <c r="H279" s="6" t="n"/>
    </row>
    <row r="280">
      <c r="A280" t="inlineStr">
        <is>
          <t>CLIENT</t>
        </is>
      </c>
      <c r="B280" t="inlineStr">
        <is>
          <t>Entity</t>
        </is>
      </c>
      <c r="C280" t="inlineStr">
        <is>
          <t>PD_ObjectID</t>
        </is>
      </c>
      <c r="D280" s="6" t="inlineStr">
        <is>
          <t>DAC19097-A40F-4A53-B3FC-5570E60094FD</t>
        </is>
      </c>
      <c r="E280" s="6" t="inlineStr">
        <is>
          <t>DAC19097-A40F-4A53-B3FC-5570E60094FD</t>
        </is>
      </c>
      <c r="F280" s="12" t="inlineStr">
        <is>
          <t>PASS</t>
        </is>
      </c>
      <c r="H280" s="6" t="n"/>
    </row>
    <row r="281">
      <c r="A281" t="inlineStr">
        <is>
          <t>CLIENT</t>
        </is>
      </c>
      <c r="B281" t="inlineStr">
        <is>
          <t>Entity</t>
        </is>
      </c>
      <c r="C281" t="inlineStr">
        <is>
          <t>PD_SourceExtraction</t>
        </is>
      </c>
      <c r="D281" s="6" t="inlineStr">
        <is>
          <t>46603045</t>
        </is>
      </c>
      <c r="E281" s="6" t="inlineStr">
        <is>
          <t>46603045</t>
        </is>
      </c>
      <c r="F281" s="12" t="inlineStr">
        <is>
          <t>PASS</t>
        </is>
      </c>
      <c r="H281" s="6" t="n"/>
    </row>
    <row r="282">
      <c r="A282" t="inlineStr">
        <is>
          <t>CLIENT</t>
        </is>
      </c>
      <c r="B282" t="inlineStr">
        <is>
          <t>Entity</t>
        </is>
      </c>
      <c r="C282" t="inlineStr">
        <is>
          <t>PD_SourceModel</t>
        </is>
      </c>
      <c r="D282" s="6" t="inlineStr">
        <is>
          <t>05_Carbon_Calculator</t>
        </is>
      </c>
      <c r="E282" s="6" t="inlineStr">
        <is>
          <t>05_Carbon_Calculator</t>
        </is>
      </c>
      <c r="F282" s="12" t="inlineStr">
        <is>
          <t>PASS</t>
        </is>
      </c>
      <c r="H282" s="6" t="n"/>
    </row>
    <row r="283">
      <c r="A283" t="inlineStr">
        <is>
          <t>CLIENT</t>
        </is>
      </c>
      <c r="B283" t="inlineStr">
        <is>
          <t>Entity</t>
        </is>
      </c>
      <c r="C283" t="inlineStr">
        <is>
          <t>SensitivePersonalData</t>
        </is>
      </c>
      <c r="D283" s="6" t="inlineStr">
        <is>
          <t>No Sensitive Personal Data</t>
        </is>
      </c>
      <c r="E283" s="6" t="inlineStr">
        <is>
          <t>No Sensitive Personal Data</t>
        </is>
      </c>
      <c r="F283" s="12" t="inlineStr">
        <is>
          <t>PASS</t>
        </is>
      </c>
      <c r="G283" t="inlineStr">
        <is>
          <t>BIM-core.SensitivePersonalData</t>
        </is>
      </c>
      <c r="H283" s="6" t="n"/>
    </row>
    <row r="284">
      <c r="A284" t="inlineStr">
        <is>
          <t>CLIENT_CONSENT</t>
        </is>
      </c>
      <c r="B284" t="inlineStr">
        <is>
          <t>Entity</t>
        </is>
      </c>
      <c r="C284" t="inlineStr">
        <is>
          <t>CommerciallySensitiveInformation</t>
        </is>
      </c>
      <c r="D284" s="6" t="inlineStr">
        <is>
          <t>No Commercially Sensitive Information</t>
        </is>
      </c>
      <c r="E284" s="6" t="inlineStr">
        <is>
          <t>No Commercially Sensitive Information</t>
        </is>
      </c>
      <c r="F284" s="12" t="inlineStr">
        <is>
          <t>PASS</t>
        </is>
      </c>
      <c r="G284" t="inlineStr">
        <is>
          <t>BIM-core.CommerciallySensitiveInformation</t>
        </is>
      </c>
      <c r="H284" s="6" t="n"/>
    </row>
    <row r="285">
      <c r="A285" t="inlineStr">
        <is>
          <t>CLIENT_CONSENT</t>
        </is>
      </c>
      <c r="B285" t="inlineStr">
        <is>
          <t>Entity</t>
        </is>
      </c>
      <c r="C285" t="inlineStr">
        <is>
          <t>Criticality</t>
        </is>
      </c>
      <c r="D285" s="6" t="inlineStr">
        <is>
          <t>No Critical Data</t>
        </is>
      </c>
      <c r="E285" s="6" t="inlineStr">
        <is>
          <t>No Critical Data</t>
        </is>
      </c>
      <c r="F285" s="12" t="inlineStr">
        <is>
          <t>PASS</t>
        </is>
      </c>
      <c r="G285" t="inlineStr">
        <is>
          <t>BIM-core.Criticality</t>
        </is>
      </c>
      <c r="H285" s="6" t="n"/>
    </row>
    <row r="286">
      <c r="A286" t="inlineStr">
        <is>
          <t>CLIENT_CONSENT</t>
        </is>
      </c>
      <c r="B286" t="inlineStr">
        <is>
          <t>Entity</t>
        </is>
      </c>
      <c r="C286" t="inlineStr">
        <is>
          <t>DataCategory</t>
        </is>
      </c>
      <c r="D286" s="6" t="inlineStr">
        <is>
          <t>Structured</t>
        </is>
      </c>
      <c r="E286" s="6" t="inlineStr">
        <is>
          <t>Structured</t>
        </is>
      </c>
      <c r="F286" s="12" t="inlineStr">
        <is>
          <t>PASS</t>
        </is>
      </c>
      <c r="G286" t="inlineStr">
        <is>
          <t>BIM-core.DataCategory</t>
        </is>
      </c>
      <c r="H286" s="6" t="n"/>
    </row>
    <row r="287">
      <c r="A287" t="inlineStr">
        <is>
          <t>CLIENT_CONSENT</t>
        </is>
      </c>
      <c r="B287" t="inlineStr">
        <is>
          <t>Entity</t>
        </is>
      </c>
      <c r="C287" t="inlineStr">
        <is>
          <t>DataConfidentiality</t>
        </is>
      </c>
      <c r="D287" s="6" t="inlineStr">
        <is>
          <t>Internal</t>
        </is>
      </c>
      <c r="E287" s="6" t="inlineStr">
        <is>
          <t>Internal</t>
        </is>
      </c>
      <c r="F287" s="12" t="inlineStr">
        <is>
          <t>PASS</t>
        </is>
      </c>
      <c r="G287" t="inlineStr">
        <is>
          <t>BIM-core.DataConfidentiality</t>
        </is>
      </c>
      <c r="H287" s="6" t="n"/>
    </row>
    <row r="288">
      <c r="A288" t="inlineStr">
        <is>
          <t>CLIENT_CONSENT</t>
        </is>
      </c>
      <c r="B288" t="inlineStr">
        <is>
          <t>Entity</t>
        </is>
      </c>
      <c r="C288" t="inlineStr">
        <is>
          <t>DesignStatus</t>
        </is>
      </c>
      <c r="D288" s="6" t="inlineStr">
        <is>
          <t>Approved</t>
        </is>
      </c>
      <c r="E288" s="6" t="inlineStr">
        <is>
          <t>Approved</t>
        </is>
      </c>
      <c r="F288" s="12" t="inlineStr">
        <is>
          <t>PASS</t>
        </is>
      </c>
      <c r="G288" t="inlineStr">
        <is>
          <t>BIM-core.DesignStatus</t>
        </is>
      </c>
      <c r="H288" s="6" t="n"/>
    </row>
    <row r="289">
      <c r="A289" t="inlineStr">
        <is>
          <t>CLIENT_CONSENT</t>
        </is>
      </c>
      <c r="B289" t="inlineStr">
        <is>
          <t>Entity</t>
        </is>
      </c>
      <c r="C289" t="inlineStr">
        <is>
          <t>EntityCategory</t>
        </is>
      </c>
      <c r="D289" s="6" t="inlineStr">
        <is>
          <t>Transaction</t>
        </is>
      </c>
      <c r="E289" s="6" t="inlineStr">
        <is>
          <t>Transaction</t>
        </is>
      </c>
      <c r="F289" s="12" t="inlineStr">
        <is>
          <t>PASS</t>
        </is>
      </c>
      <c r="G289" t="inlineStr">
        <is>
          <t>BIM-core.EntityCategory</t>
        </is>
      </c>
      <c r="H289" s="6" t="n"/>
    </row>
    <row r="290">
      <c r="A290" t="inlineStr">
        <is>
          <t>CLIENT_CONSENT</t>
        </is>
      </c>
      <c r="B290" t="inlineStr">
        <is>
          <t>Entity</t>
        </is>
      </c>
      <c r="C290" t="inlineStr">
        <is>
          <t>EntityPersonalData</t>
        </is>
      </c>
      <c r="D290" s="6" t="inlineStr">
        <is>
          <t>No Personal Data</t>
        </is>
      </c>
      <c r="E290" s="6" t="inlineStr">
        <is>
          <t>No Personal Data</t>
        </is>
      </c>
      <c r="F290" s="12" t="inlineStr">
        <is>
          <t>PASS</t>
        </is>
      </c>
      <c r="G290" t="inlineStr">
        <is>
          <t>BIM-core.EntityPersonalData</t>
        </is>
      </c>
      <c r="H290" s="6" t="n"/>
    </row>
    <row r="291">
      <c r="A291" t="inlineStr">
        <is>
          <t>CLIENT_CONSENT</t>
        </is>
      </c>
      <c r="B291" t="inlineStr">
        <is>
          <t>Entity</t>
        </is>
      </c>
      <c r="C291" t="inlineStr">
        <is>
          <t>FinancialPersonalData</t>
        </is>
      </c>
      <c r="D291" s="6" t="inlineStr">
        <is>
          <t>No Financial Personal Data</t>
        </is>
      </c>
      <c r="E291" s="6" t="inlineStr">
        <is>
          <t>No Financial Personal Data</t>
        </is>
      </c>
      <c r="F291" s="12" t="inlineStr">
        <is>
          <t>PASS</t>
        </is>
      </c>
      <c r="G291" t="inlineStr">
        <is>
          <t>BIM-core.FinancialPersonalData</t>
        </is>
      </c>
      <c r="H291" s="6" t="n"/>
    </row>
    <row r="292">
      <c r="A292" t="inlineStr">
        <is>
          <t>CLIENT_CONSENT</t>
        </is>
      </c>
      <c r="B292" t="inlineStr">
        <is>
          <t>Entity</t>
        </is>
      </c>
      <c r="C292" t="inlineStr">
        <is>
          <t>MTED_EDaM_Mapping_Note</t>
        </is>
      </c>
      <c r="D292" s="6" t="inlineStr">
        <is>
          <t>{\rtf1\ansi\ansicpg1252\deff0\nouicompat\deflang2057{\fonttbl{\f0\fnil\fcharset0 Times New Roman;}}</t>
        </is>
      </c>
      <c r="E292" s="6" t="inlineStr">
        <is>
          <t>{\rtf1\ansi\ansicpg1252\deff0\nouicompat\deflang2057{\fonttbl{\f0\fnil\fcharset0 Times New Roman;}}</t>
        </is>
      </c>
      <c r="F292" s="12" t="inlineStr">
        <is>
          <t>PASS</t>
        </is>
      </c>
      <c r="G292" t="inlineStr">
        <is>
          <t>BIM-core.MTED_EDaM_Mapping_Note</t>
        </is>
      </c>
      <c r="H292" s="6" t="n"/>
    </row>
    <row r="293">
      <c r="A293" t="inlineStr">
        <is>
          <t>CLIENT_CONSENT</t>
        </is>
      </c>
      <c r="B293" t="inlineStr">
        <is>
          <t>Entity</t>
        </is>
      </c>
      <c r="C293" t="inlineStr">
        <is>
          <t>PD_ObjectID</t>
        </is>
      </c>
      <c r="D293" s="6" t="inlineStr">
        <is>
          <t>BBC3FE8C-D594-4EF9-A1B7-838AAC839A44</t>
        </is>
      </c>
      <c r="E293" s="6" t="inlineStr">
        <is>
          <t>BBC3FE8C-D594-4EF9-A1B7-838AAC839A44</t>
        </is>
      </c>
      <c r="F293" s="12" t="inlineStr">
        <is>
          <t>PASS</t>
        </is>
      </c>
      <c r="H293" s="6" t="n"/>
    </row>
    <row r="294">
      <c r="A294" t="inlineStr">
        <is>
          <t>CLIENT_CONSENT</t>
        </is>
      </c>
      <c r="B294" t="inlineStr">
        <is>
          <t>Entity</t>
        </is>
      </c>
      <c r="C294" t="inlineStr">
        <is>
          <t>PD_SourceExtraction</t>
        </is>
      </c>
      <c r="D294" s="6" t="inlineStr">
        <is>
          <t>46603045</t>
        </is>
      </c>
      <c r="E294" s="6" t="inlineStr">
        <is>
          <t>46603045</t>
        </is>
      </c>
      <c r="F294" s="12" t="inlineStr">
        <is>
          <t>PASS</t>
        </is>
      </c>
      <c r="H294" s="6" t="n"/>
    </row>
    <row r="295">
      <c r="A295" t="inlineStr">
        <is>
          <t>CLIENT_CONSENT</t>
        </is>
      </c>
      <c r="B295" t="inlineStr">
        <is>
          <t>Entity</t>
        </is>
      </c>
      <c r="C295" t="inlineStr">
        <is>
          <t>PD_SourceModel</t>
        </is>
      </c>
      <c r="D295" s="6" t="inlineStr">
        <is>
          <t>05_Carbon_Calculator</t>
        </is>
      </c>
      <c r="E295" s="6" t="inlineStr">
        <is>
          <t>05_Carbon_Calculator</t>
        </is>
      </c>
      <c r="F295" s="12" t="inlineStr">
        <is>
          <t>PASS</t>
        </is>
      </c>
      <c r="H295" s="6" t="n"/>
    </row>
    <row r="296">
      <c r="A296" t="inlineStr">
        <is>
          <t>CLIENT_CONSENT</t>
        </is>
      </c>
      <c r="B296" t="inlineStr">
        <is>
          <t>Entity</t>
        </is>
      </c>
      <c r="C296" t="inlineStr">
        <is>
          <t>SensitivePersonalData</t>
        </is>
      </c>
      <c r="D296" s="6" t="inlineStr">
        <is>
          <t>No Sensitive Personal Data</t>
        </is>
      </c>
      <c r="E296" s="6" t="inlineStr">
        <is>
          <t>No Sensitive Personal Data</t>
        </is>
      </c>
      <c r="F296" s="12" t="inlineStr">
        <is>
          <t>PASS</t>
        </is>
      </c>
      <c r="G296" t="inlineStr">
        <is>
          <t>BIM-core.SensitivePersonalData</t>
        </is>
      </c>
      <c r="H296" s="6" t="n"/>
    </row>
    <row r="297">
      <c r="A297" t="inlineStr">
        <is>
          <t>CLIENT_PREFERENCES</t>
        </is>
      </c>
      <c r="B297" t="inlineStr">
        <is>
          <t>Entity</t>
        </is>
      </c>
      <c r="C297" t="inlineStr">
        <is>
          <t>CommerciallySensitiveInformation</t>
        </is>
      </c>
      <c r="D297" s="6" t="inlineStr">
        <is>
          <t>No Commercially Sensitive Information</t>
        </is>
      </c>
      <c r="E297" s="6" t="inlineStr">
        <is>
          <t>No Commercially Sensitive Information</t>
        </is>
      </c>
      <c r="F297" s="12" t="inlineStr">
        <is>
          <t>PASS</t>
        </is>
      </c>
      <c r="G297" t="inlineStr">
        <is>
          <t>BIM-core.CommerciallySensitiveInformation</t>
        </is>
      </c>
      <c r="H297" s="6" t="n"/>
    </row>
    <row r="298">
      <c r="A298" t="inlineStr">
        <is>
          <t>CLIENT_PREFERENCES</t>
        </is>
      </c>
      <c r="B298" t="inlineStr">
        <is>
          <t>Entity</t>
        </is>
      </c>
      <c r="C298" t="inlineStr">
        <is>
          <t>Criticality</t>
        </is>
      </c>
      <c r="D298" s="6" t="inlineStr">
        <is>
          <t>No Critical Data</t>
        </is>
      </c>
      <c r="E298" s="6" t="inlineStr">
        <is>
          <t>No Critical Data</t>
        </is>
      </c>
      <c r="F298" s="12" t="inlineStr">
        <is>
          <t>PASS</t>
        </is>
      </c>
      <c r="G298" t="inlineStr">
        <is>
          <t>BIM-core.Criticality</t>
        </is>
      </c>
      <c r="H298" s="6" t="n"/>
    </row>
    <row r="299">
      <c r="A299" t="inlineStr">
        <is>
          <t>CLIENT_PREFERENCES</t>
        </is>
      </c>
      <c r="B299" t="inlineStr">
        <is>
          <t>Entity</t>
        </is>
      </c>
      <c r="C299" t="inlineStr">
        <is>
          <t>DataCategory</t>
        </is>
      </c>
      <c r="D299" s="6" t="inlineStr">
        <is>
          <t>Structured</t>
        </is>
      </c>
      <c r="E299" s="6" t="inlineStr">
        <is>
          <t>Structured</t>
        </is>
      </c>
      <c r="F299" s="12" t="inlineStr">
        <is>
          <t>PASS</t>
        </is>
      </c>
      <c r="G299" t="inlineStr">
        <is>
          <t>BIM-core.DataCategory</t>
        </is>
      </c>
      <c r="H299" s="6" t="n"/>
    </row>
    <row r="300">
      <c r="A300" t="inlineStr">
        <is>
          <t>CLIENT_PREFERENCES</t>
        </is>
      </c>
      <c r="B300" t="inlineStr">
        <is>
          <t>Entity</t>
        </is>
      </c>
      <c r="C300" t="inlineStr">
        <is>
          <t>DataConfidentiality</t>
        </is>
      </c>
      <c r="D300" s="6" t="inlineStr">
        <is>
          <t>Internal</t>
        </is>
      </c>
      <c r="E300" s="6" t="inlineStr">
        <is>
          <t>Internal</t>
        </is>
      </c>
      <c r="F300" s="12" t="inlineStr">
        <is>
          <t>PASS</t>
        </is>
      </c>
      <c r="G300" t="inlineStr">
        <is>
          <t>BIM-core.DataConfidentiality</t>
        </is>
      </c>
      <c r="H300" s="6" t="n"/>
    </row>
    <row r="301">
      <c r="A301" t="inlineStr">
        <is>
          <t>CLIENT_PREFERENCES</t>
        </is>
      </c>
      <c r="B301" t="inlineStr">
        <is>
          <t>Entity</t>
        </is>
      </c>
      <c r="C301" t="inlineStr">
        <is>
          <t>DesignStatus</t>
        </is>
      </c>
      <c r="D301" s="6" t="inlineStr">
        <is>
          <t>Approved</t>
        </is>
      </c>
      <c r="E301" s="6" t="inlineStr">
        <is>
          <t>Approved</t>
        </is>
      </c>
      <c r="F301" s="12" t="inlineStr">
        <is>
          <t>PASS</t>
        </is>
      </c>
      <c r="G301" t="inlineStr">
        <is>
          <t>BIM-core.DesignStatus</t>
        </is>
      </c>
      <c r="H301" s="6" t="n"/>
    </row>
    <row r="302">
      <c r="A302" t="inlineStr">
        <is>
          <t>CLIENT_PREFERENCES</t>
        </is>
      </c>
      <c r="B302" t="inlineStr">
        <is>
          <t>Entity</t>
        </is>
      </c>
      <c r="C302" t="inlineStr">
        <is>
          <t>EntityCategory</t>
        </is>
      </c>
      <c r="D302" s="6" t="inlineStr">
        <is>
          <t>Transaction</t>
        </is>
      </c>
      <c r="E302" s="6" t="inlineStr">
        <is>
          <t>Transaction</t>
        </is>
      </c>
      <c r="F302" s="12" t="inlineStr">
        <is>
          <t>PASS</t>
        </is>
      </c>
      <c r="G302" t="inlineStr">
        <is>
          <t>BIM-core.EntityCategory</t>
        </is>
      </c>
      <c r="H302" s="6" t="n"/>
    </row>
    <row r="303">
      <c r="A303" t="inlineStr">
        <is>
          <t>CLIENT_PREFERENCES</t>
        </is>
      </c>
      <c r="B303" t="inlineStr">
        <is>
          <t>Entity</t>
        </is>
      </c>
      <c r="C303" t="inlineStr">
        <is>
          <t>EntityPersonalData</t>
        </is>
      </c>
      <c r="D303" s="6" t="inlineStr">
        <is>
          <t>No Personal Data</t>
        </is>
      </c>
      <c r="E303" s="6" t="inlineStr">
        <is>
          <t>No Personal Data</t>
        </is>
      </c>
      <c r="F303" s="12" t="inlineStr">
        <is>
          <t>PASS</t>
        </is>
      </c>
      <c r="G303" t="inlineStr">
        <is>
          <t>BIM-core.EntityPersonalData</t>
        </is>
      </c>
      <c r="H303" s="6" t="n"/>
    </row>
    <row r="304">
      <c r="A304" t="inlineStr">
        <is>
          <t>CLIENT_PREFERENCES</t>
        </is>
      </c>
      <c r="B304" t="inlineStr">
        <is>
          <t>Entity</t>
        </is>
      </c>
      <c r="C304" t="inlineStr">
        <is>
          <t>FinancialPersonalData</t>
        </is>
      </c>
      <c r="D304" s="6" t="inlineStr">
        <is>
          <t>No Financial Personal Data</t>
        </is>
      </c>
      <c r="E304" s="6" t="inlineStr">
        <is>
          <t>No Financial Personal Data</t>
        </is>
      </c>
      <c r="F304" s="12" t="inlineStr">
        <is>
          <t>PASS</t>
        </is>
      </c>
      <c r="G304" t="inlineStr">
        <is>
          <t>BIM-core.FinancialPersonalData</t>
        </is>
      </c>
      <c r="H304" s="6" t="n"/>
    </row>
    <row r="305">
      <c r="A305" t="inlineStr">
        <is>
          <t>CLIENT_PREFERENCES</t>
        </is>
      </c>
      <c r="B305" t="inlineStr">
        <is>
          <t>Entity</t>
        </is>
      </c>
      <c r="C305" t="inlineStr">
        <is>
          <t>MTED_EDaM_Mapping_Note</t>
        </is>
      </c>
      <c r="D305" s="6" t="inlineStr">
        <is>
          <t>{\rtf1\ansi\ansicpg1252\deff0\nouicompat\deflang2057{\fonttbl{\f0\fnil\fcharset0 Times New Roman;}}</t>
        </is>
      </c>
      <c r="E305" s="6" t="inlineStr">
        <is>
          <t>{\rtf1\ansi\ansicpg1252\deff0\nouicompat\deflang2057{\fonttbl{\f0\fnil\fcharset0 Times New Roman;}}</t>
        </is>
      </c>
      <c r="F305" s="12" t="inlineStr">
        <is>
          <t>PASS</t>
        </is>
      </c>
      <c r="G305" t="inlineStr">
        <is>
          <t>BIM-core.MTED_EDaM_Mapping_Note</t>
        </is>
      </c>
      <c r="H305" s="6" t="n"/>
    </row>
    <row r="306">
      <c r="A306" t="inlineStr">
        <is>
          <t>CLIENT_PREFERENCES</t>
        </is>
      </c>
      <c r="B306" t="inlineStr">
        <is>
          <t>Entity</t>
        </is>
      </c>
      <c r="C306" t="inlineStr">
        <is>
          <t>MappingLevel</t>
        </is>
      </c>
      <c r="D306" s="6" t="inlineStr">
        <is>
          <t>Application Specific</t>
        </is>
      </c>
      <c r="E306" s="6" t="inlineStr">
        <is>
          <t>Application Specific</t>
        </is>
      </c>
      <c r="F306" s="12" t="inlineStr">
        <is>
          <t>PASS</t>
        </is>
      </c>
      <c r="G306" t="inlineStr">
        <is>
          <t>BIM-core.MappingLevel</t>
        </is>
      </c>
      <c r="H306" s="6" t="n"/>
    </row>
    <row r="307">
      <c r="A307" t="inlineStr">
        <is>
          <t>CLIENT_PREFERENCES</t>
        </is>
      </c>
      <c r="B307" t="inlineStr">
        <is>
          <t>Entity</t>
        </is>
      </c>
      <c r="C307" t="inlineStr">
        <is>
          <t>PD_ObjectID</t>
        </is>
      </c>
      <c r="D307" s="6" t="inlineStr">
        <is>
          <t>A6972307-A4DA-4940-B68F-EF1CDA38F338</t>
        </is>
      </c>
      <c r="E307" s="6" t="inlineStr">
        <is>
          <t>A6972307-A4DA-4940-B68F-EF1CDA38F338</t>
        </is>
      </c>
      <c r="F307" s="12" t="inlineStr">
        <is>
          <t>PASS</t>
        </is>
      </c>
      <c r="H307" s="6" t="n"/>
    </row>
    <row r="308">
      <c r="A308" t="inlineStr">
        <is>
          <t>CLIENT_PREFERENCES</t>
        </is>
      </c>
      <c r="B308" t="inlineStr">
        <is>
          <t>Entity</t>
        </is>
      </c>
      <c r="C308" t="inlineStr">
        <is>
          <t>PD_SourceExtraction</t>
        </is>
      </c>
      <c r="D308" s="6" t="inlineStr">
        <is>
          <t>46603045</t>
        </is>
      </c>
      <c r="E308" s="6" t="inlineStr">
        <is>
          <t>46603045</t>
        </is>
      </c>
      <c r="F308" s="12" t="inlineStr">
        <is>
          <t>PASS</t>
        </is>
      </c>
      <c r="H308" s="6" t="n"/>
    </row>
    <row r="309">
      <c r="A309" t="inlineStr">
        <is>
          <t>CLIENT_PREFERENCES</t>
        </is>
      </c>
      <c r="B309" t="inlineStr">
        <is>
          <t>Entity</t>
        </is>
      </c>
      <c r="C309" t="inlineStr">
        <is>
          <t>PD_SourceModel</t>
        </is>
      </c>
      <c r="D309" s="6" t="inlineStr">
        <is>
          <t>05_Carbon_Calculator</t>
        </is>
      </c>
      <c r="E309" s="6" t="inlineStr">
        <is>
          <t>05_Carbon_Calculator</t>
        </is>
      </c>
      <c r="F309" s="12" t="inlineStr">
        <is>
          <t>PASS</t>
        </is>
      </c>
      <c r="H309" s="6" t="n"/>
    </row>
    <row r="310">
      <c r="A310" t="inlineStr">
        <is>
          <t>CLIENT_PREFERENCES</t>
        </is>
      </c>
      <c r="B310" t="inlineStr">
        <is>
          <t>Entity</t>
        </is>
      </c>
      <c r="C310" t="inlineStr">
        <is>
          <t>SensitivePersonalData</t>
        </is>
      </c>
      <c r="D310" s="6" t="inlineStr">
        <is>
          <t>No Sensitive Personal Data</t>
        </is>
      </c>
      <c r="E310" s="6" t="inlineStr">
        <is>
          <t>No Sensitive Personal Data</t>
        </is>
      </c>
      <c r="F310" s="12" t="inlineStr">
        <is>
          <t>PASS</t>
        </is>
      </c>
      <c r="G310" t="inlineStr">
        <is>
          <t>BIM-core.SensitivePersonalData</t>
        </is>
      </c>
      <c r="H310" s="6" t="n"/>
    </row>
    <row r="311">
      <c r="A311" t="inlineStr">
        <is>
          <t>CLIENT_UOM</t>
        </is>
      </c>
      <c r="B311" t="inlineStr">
        <is>
          <t>Entity</t>
        </is>
      </c>
      <c r="C311" t="inlineStr">
        <is>
          <t>CSI</t>
        </is>
      </c>
      <c r="D311" s="6" t="inlineStr">
        <is>
          <t>false</t>
        </is>
      </c>
      <c r="E311" s="6" t="inlineStr">
        <is>
          <t>false</t>
        </is>
      </c>
      <c r="F311" s="12" t="inlineStr">
        <is>
          <t>PASS</t>
        </is>
      </c>
      <c r="G311" t="inlineStr">
        <is>
          <t>SHL_LDM_EntityPropertyExtension.CSI</t>
        </is>
      </c>
      <c r="H311" s="6" t="n"/>
    </row>
    <row r="312">
      <c r="A312" t="inlineStr">
        <is>
          <t>CLIENT_UOM</t>
        </is>
      </c>
      <c r="B312" t="inlineStr">
        <is>
          <t>Entity</t>
        </is>
      </c>
      <c r="C312" t="inlineStr">
        <is>
          <t>CommerciallySensitiveInformation</t>
        </is>
      </c>
      <c r="D312" s="6" t="inlineStr">
        <is>
          <t>No Commercially Sensitive Information</t>
        </is>
      </c>
      <c r="E312" s="6" t="inlineStr">
        <is>
          <t>No Commercially Sensitive Information</t>
        </is>
      </c>
      <c r="F312" s="12" t="inlineStr">
        <is>
          <t>PASS</t>
        </is>
      </c>
      <c r="G312" t="inlineStr">
        <is>
          <t>BIM-core.CommerciallySensitiveInformation</t>
        </is>
      </c>
      <c r="H312" s="6" t="n"/>
    </row>
    <row r="313">
      <c r="A313" t="inlineStr">
        <is>
          <t>CLIENT_UOM</t>
        </is>
      </c>
      <c r="B313" t="inlineStr">
        <is>
          <t>Entity</t>
        </is>
      </c>
      <c r="C313" t="inlineStr">
        <is>
          <t>Criticality</t>
        </is>
      </c>
      <c r="D313" s="6" t="inlineStr">
        <is>
          <t>No Critical Data</t>
        </is>
      </c>
      <c r="E313" s="6" t="inlineStr">
        <is>
          <t>No Critical Data</t>
        </is>
      </c>
      <c r="F313" s="12" t="inlineStr">
        <is>
          <t>PASS</t>
        </is>
      </c>
      <c r="G313" t="inlineStr">
        <is>
          <t>BIM-core.Criticality</t>
        </is>
      </c>
      <c r="H313" s="6" t="n"/>
    </row>
    <row r="314">
      <c r="A314" t="inlineStr">
        <is>
          <t>CLIENT_UOM</t>
        </is>
      </c>
      <c r="B314" t="inlineStr">
        <is>
          <t>Entity</t>
        </is>
      </c>
      <c r="C314" t="inlineStr">
        <is>
          <t>DataCategory</t>
        </is>
      </c>
      <c r="D314" s="6" t="inlineStr">
        <is>
          <t>Structured</t>
        </is>
      </c>
      <c r="E314" s="6" t="inlineStr">
        <is>
          <t>Structured</t>
        </is>
      </c>
      <c r="F314" s="12" t="inlineStr">
        <is>
          <t>PASS</t>
        </is>
      </c>
      <c r="G314" t="inlineStr">
        <is>
          <t>BIM-core.DataCategory</t>
        </is>
      </c>
      <c r="H314" s="6" t="n"/>
    </row>
    <row r="315">
      <c r="A315" t="inlineStr">
        <is>
          <t>CLIENT_UOM</t>
        </is>
      </c>
      <c r="B315" t="inlineStr">
        <is>
          <t>Entity</t>
        </is>
      </c>
      <c r="C315" t="inlineStr">
        <is>
          <t>DataConfidentiality</t>
        </is>
      </c>
      <c r="D315" s="6" t="inlineStr">
        <is>
          <t>Internal</t>
        </is>
      </c>
      <c r="E315" s="6" t="inlineStr">
        <is>
          <t>Internal</t>
        </is>
      </c>
      <c r="F315" s="12" t="inlineStr">
        <is>
          <t>PASS</t>
        </is>
      </c>
      <c r="G315" t="inlineStr">
        <is>
          <t>BIM-core.DataConfidentiality</t>
        </is>
      </c>
      <c r="H315" s="6" t="n"/>
    </row>
    <row r="316">
      <c r="A316" t="inlineStr">
        <is>
          <t>CLIENT_UOM</t>
        </is>
      </c>
      <c r="B316" t="inlineStr">
        <is>
          <t>Entity</t>
        </is>
      </c>
      <c r="C316" t="inlineStr">
        <is>
          <t>DesignStatus</t>
        </is>
      </c>
      <c r="D316" s="6" t="inlineStr">
        <is>
          <t>Approved</t>
        </is>
      </c>
      <c r="E316" s="6" t="inlineStr">
        <is>
          <t>Approved</t>
        </is>
      </c>
      <c r="F316" s="12" t="inlineStr">
        <is>
          <t>PASS</t>
        </is>
      </c>
      <c r="G316" t="inlineStr">
        <is>
          <t>BIM-core.DesignStatus</t>
        </is>
      </c>
      <c r="H316" s="6" t="n"/>
    </row>
    <row r="317">
      <c r="A317" t="inlineStr">
        <is>
          <t>CLIENT_UOM</t>
        </is>
      </c>
      <c r="B317" t="inlineStr">
        <is>
          <t>Entity</t>
        </is>
      </c>
      <c r="C317" t="inlineStr">
        <is>
          <t>EntityCategory</t>
        </is>
      </c>
      <c r="D317" s="6" t="inlineStr">
        <is>
          <t>External Reference</t>
        </is>
      </c>
      <c r="E317" s="6" t="inlineStr">
        <is>
          <t>External Reference</t>
        </is>
      </c>
      <c r="F317" s="12" t="inlineStr">
        <is>
          <t>PASS</t>
        </is>
      </c>
      <c r="G317" t="inlineStr">
        <is>
          <t>BIM-core.EntityCategory</t>
        </is>
      </c>
      <c r="H317" s="6" t="n"/>
    </row>
    <row r="318">
      <c r="A318" t="inlineStr">
        <is>
          <t>CLIENT_UOM</t>
        </is>
      </c>
      <c r="B318" t="inlineStr">
        <is>
          <t>Entity</t>
        </is>
      </c>
      <c r="C318" t="inlineStr">
        <is>
          <t>EntityPersonalData</t>
        </is>
      </c>
      <c r="D318" s="6" t="inlineStr">
        <is>
          <t>No Personal Data</t>
        </is>
      </c>
      <c r="E318" s="6" t="inlineStr">
        <is>
          <t>No Personal Data</t>
        </is>
      </c>
      <c r="F318" s="12" t="inlineStr">
        <is>
          <t>PASS</t>
        </is>
      </c>
      <c r="G318" t="inlineStr">
        <is>
          <t>BIM-core.EntityPersonalData</t>
        </is>
      </c>
      <c r="H318" s="6" t="n"/>
    </row>
    <row r="319">
      <c r="A319" t="inlineStr">
        <is>
          <t>CLIENT_UOM</t>
        </is>
      </c>
      <c r="B319" t="inlineStr">
        <is>
          <t>Entity</t>
        </is>
      </c>
      <c r="C319" t="inlineStr">
        <is>
          <t>FinancialPersonalData</t>
        </is>
      </c>
      <c r="D319" s="6" t="inlineStr">
        <is>
          <t>No Financial Personal Data</t>
        </is>
      </c>
      <c r="E319" s="6" t="inlineStr">
        <is>
          <t>No Financial Personal Data</t>
        </is>
      </c>
      <c r="F319" s="12" t="inlineStr">
        <is>
          <t>PASS</t>
        </is>
      </c>
      <c r="G319" t="inlineStr">
        <is>
          <t>BIM-core.FinancialPersonalData</t>
        </is>
      </c>
      <c r="H319" s="6" t="n"/>
    </row>
    <row r="320">
      <c r="A320" t="inlineStr">
        <is>
          <t>CLIENT_UOM</t>
        </is>
      </c>
      <c r="B320" t="inlineStr">
        <is>
          <t>Entity</t>
        </is>
      </c>
      <c r="C320" t="inlineStr">
        <is>
          <t>MTED_EDaM_Mapping_Note</t>
        </is>
      </c>
      <c r="D320" s="6" t="inlineStr">
        <is>
          <t>{\rtf1\ansi\ansicpg1252\deff0\nouicompat\deflang2057{\fonttbl{\f0\fnil\fcharset0 Times New Roman;}}</t>
        </is>
      </c>
      <c r="E320" s="6" t="inlineStr">
        <is>
          <t>{\rtf1\ansi\ansicpg1252\deff0\nouicompat\deflang2057{\fonttbl{\f0\fnil\fcharset0 Times New Roman;}}</t>
        </is>
      </c>
      <c r="F320" s="12" t="inlineStr">
        <is>
          <t>PASS</t>
        </is>
      </c>
      <c r="G320" t="inlineStr">
        <is>
          <t>BIM-core.MTED_EDaM_Mapping_Note</t>
        </is>
      </c>
      <c r="H320" s="6" t="n"/>
    </row>
    <row r="321">
      <c r="A321" t="inlineStr">
        <is>
          <t>CLIENT_UOM</t>
        </is>
      </c>
      <c r="B321" t="inlineStr">
        <is>
          <t>Entity</t>
        </is>
      </c>
      <c r="C321" t="inlineStr">
        <is>
          <t>MTED_Encryption_Required</t>
        </is>
      </c>
      <c r="D321" s="6" t="inlineStr">
        <is>
          <t>false</t>
        </is>
      </c>
      <c r="E321" s="6" t="inlineStr">
        <is>
          <t>false</t>
        </is>
      </c>
      <c r="F321" s="12" t="inlineStr">
        <is>
          <t>PASS</t>
        </is>
      </c>
      <c r="G321" t="inlineStr">
        <is>
          <t>SHL_LDM_EntityPropertyExtension.MTED_Encryption_Required</t>
        </is>
      </c>
      <c r="H321" s="6" t="n"/>
    </row>
    <row r="322">
      <c r="A322" t="inlineStr">
        <is>
          <t>CLIENT_UOM</t>
        </is>
      </c>
      <c r="B322" t="inlineStr">
        <is>
          <t>Entity</t>
        </is>
      </c>
      <c r="C322" t="inlineStr">
        <is>
          <t>MappingLevel</t>
        </is>
      </c>
      <c r="D322" s="6" t="inlineStr">
        <is>
          <t>Application Specific</t>
        </is>
      </c>
      <c r="E322" s="6" t="inlineStr">
        <is>
          <t>Application Specific</t>
        </is>
      </c>
      <c r="F322" s="12" t="inlineStr">
        <is>
          <t>PASS</t>
        </is>
      </c>
      <c r="G322" t="inlineStr">
        <is>
          <t>BIM-core.MappingLevel</t>
        </is>
      </c>
      <c r="H322" s="6" t="n"/>
    </row>
    <row r="323">
      <c r="A323" t="inlineStr">
        <is>
          <t>CLIENT_UOM</t>
        </is>
      </c>
      <c r="B323" t="inlineStr">
        <is>
          <t>Entity</t>
        </is>
      </c>
      <c r="C323" t="inlineStr">
        <is>
          <t>PD_ObjectID</t>
        </is>
      </c>
      <c r="D323" s="6" t="inlineStr">
        <is>
          <t>0CEB000A-8386-4FD4-84A1-6DABF43C2CEE</t>
        </is>
      </c>
      <c r="E323" s="6" t="inlineStr">
        <is>
          <t>0CEB000A-8386-4FD4-84A1-6DABF43C2CEE</t>
        </is>
      </c>
      <c r="F323" s="12" t="inlineStr">
        <is>
          <t>PASS</t>
        </is>
      </c>
      <c r="H323" s="6" t="n"/>
    </row>
    <row r="324">
      <c r="A324" t="inlineStr">
        <is>
          <t>CLIENT_UOM</t>
        </is>
      </c>
      <c r="B324" t="inlineStr">
        <is>
          <t>Entity</t>
        </is>
      </c>
      <c r="C324" t="inlineStr">
        <is>
          <t>PD_SourceExtraction</t>
        </is>
      </c>
      <c r="D324" s="6" t="inlineStr">
        <is>
          <t>46603045</t>
        </is>
      </c>
      <c r="E324" s="6" t="inlineStr">
        <is>
          <t>46603045</t>
        </is>
      </c>
      <c r="F324" s="12" t="inlineStr">
        <is>
          <t>PASS</t>
        </is>
      </c>
      <c r="H324" s="6" t="n"/>
    </row>
    <row r="325">
      <c r="A325" t="inlineStr">
        <is>
          <t>CLIENT_UOM</t>
        </is>
      </c>
      <c r="B325" t="inlineStr">
        <is>
          <t>Entity</t>
        </is>
      </c>
      <c r="C325" t="inlineStr">
        <is>
          <t>PD_SourceModel</t>
        </is>
      </c>
      <c r="D325" s="6" t="inlineStr">
        <is>
          <t>05_Carbon_Calculator</t>
        </is>
      </c>
      <c r="E325" s="6" t="inlineStr">
        <is>
          <t>05_Carbon_Calculator</t>
        </is>
      </c>
      <c r="F325" s="12" t="inlineStr">
        <is>
          <t>PASS</t>
        </is>
      </c>
      <c r="H325" s="6" t="n"/>
    </row>
    <row r="326">
      <c r="A326" t="inlineStr">
        <is>
          <t>CLIENT_UOM</t>
        </is>
      </c>
      <c r="B326" t="inlineStr">
        <is>
          <t>Entity</t>
        </is>
      </c>
      <c r="C326" t="inlineStr">
        <is>
          <t>SensitivePersonalData</t>
        </is>
      </c>
      <c r="D326" s="6" t="inlineStr">
        <is>
          <t>No Sensitive Personal Data</t>
        </is>
      </c>
      <c r="E326" s="6" t="inlineStr">
        <is>
          <t>No Sensitive Personal Data</t>
        </is>
      </c>
      <c r="F326" s="12" t="inlineStr">
        <is>
          <t>PASS</t>
        </is>
      </c>
      <c r="G326" t="inlineStr">
        <is>
          <t>BIM-core.SensitivePersonalData</t>
        </is>
      </c>
      <c r="H326" s="6" t="n"/>
    </row>
    <row r="327">
      <c r="A327" t="inlineStr">
        <is>
          <t>CLIENT_USER</t>
        </is>
      </c>
      <c r="B327" t="inlineStr">
        <is>
          <t>Entity</t>
        </is>
      </c>
      <c r="C327" t="inlineStr">
        <is>
          <t>CommerciallySensitiveInformation</t>
        </is>
      </c>
      <c r="D327" s="6" t="inlineStr">
        <is>
          <t>No Commercially Sensitive Information</t>
        </is>
      </c>
      <c r="E327" s="6" t="inlineStr">
        <is>
          <t>No Commercially Sensitive Information</t>
        </is>
      </c>
      <c r="F327" s="12" t="inlineStr">
        <is>
          <t>PASS</t>
        </is>
      </c>
      <c r="G327" t="inlineStr">
        <is>
          <t>BIM-core.CommerciallySensitiveInformation</t>
        </is>
      </c>
      <c r="H327" s="6" t="n"/>
    </row>
    <row r="328">
      <c r="A328" t="inlineStr">
        <is>
          <t>CLIENT_USER</t>
        </is>
      </c>
      <c r="B328" t="inlineStr">
        <is>
          <t>Entity</t>
        </is>
      </c>
      <c r="C328" t="inlineStr">
        <is>
          <t>Criticality</t>
        </is>
      </c>
      <c r="D328" s="6" t="inlineStr">
        <is>
          <t>No Critical Data</t>
        </is>
      </c>
      <c r="E328" s="6" t="inlineStr">
        <is>
          <t>No Critical Data</t>
        </is>
      </c>
      <c r="F328" s="12" t="inlineStr">
        <is>
          <t>PASS</t>
        </is>
      </c>
      <c r="G328" t="inlineStr">
        <is>
          <t>BIM-core.Criticality</t>
        </is>
      </c>
      <c r="H328" s="6" t="n"/>
    </row>
    <row r="329">
      <c r="A329" t="inlineStr">
        <is>
          <t>CLIENT_USER</t>
        </is>
      </c>
      <c r="B329" t="inlineStr">
        <is>
          <t>Entity</t>
        </is>
      </c>
      <c r="C329" t="inlineStr">
        <is>
          <t>DataArea</t>
        </is>
      </c>
      <c r="D329" s="6" t="inlineStr">
        <is>
          <t>Core HR</t>
        </is>
      </c>
      <c r="E329" s="6" t="inlineStr">
        <is>
          <t>Core HR</t>
        </is>
      </c>
      <c r="F329" s="12" t="inlineStr">
        <is>
          <t>PASS</t>
        </is>
      </c>
      <c r="G329" t="inlineStr">
        <is>
          <t>BIM-core.DataArea</t>
        </is>
      </c>
      <c r="H329" s="6" t="n"/>
    </row>
    <row r="330">
      <c r="A330" t="inlineStr">
        <is>
          <t>CLIENT_USER</t>
        </is>
      </c>
      <c r="B330" t="inlineStr">
        <is>
          <t>Entity</t>
        </is>
      </c>
      <c r="C330" t="inlineStr">
        <is>
          <t>DataCategory</t>
        </is>
      </c>
      <c r="D330" s="6" t="inlineStr">
        <is>
          <t>Structured</t>
        </is>
      </c>
      <c r="E330" s="6" t="inlineStr">
        <is>
          <t>Structured</t>
        </is>
      </c>
      <c r="F330" s="12" t="inlineStr">
        <is>
          <t>PASS</t>
        </is>
      </c>
      <c r="G330" t="inlineStr">
        <is>
          <t>BIM-core.DataCategory</t>
        </is>
      </c>
      <c r="H330" s="6" t="n"/>
    </row>
    <row r="331">
      <c r="A331" t="inlineStr">
        <is>
          <t>CLIENT_USER</t>
        </is>
      </c>
      <c r="B331" t="inlineStr">
        <is>
          <t>Entity</t>
        </is>
      </c>
      <c r="C331" t="inlineStr">
        <is>
          <t>DataConfidentiality</t>
        </is>
      </c>
      <c r="D331" s="6" t="inlineStr">
        <is>
          <t>Internal</t>
        </is>
      </c>
      <c r="E331" s="6" t="inlineStr">
        <is>
          <t>Internal</t>
        </is>
      </c>
      <c r="F331" s="12" t="inlineStr">
        <is>
          <t>PASS</t>
        </is>
      </c>
      <c r="G331" t="inlineStr">
        <is>
          <t>BIM-core.DataConfidentiality</t>
        </is>
      </c>
      <c r="H331" s="6" t="n"/>
    </row>
    <row r="332">
      <c r="A332" t="inlineStr">
        <is>
          <t>CLIENT_USER</t>
        </is>
      </c>
      <c r="B332" t="inlineStr">
        <is>
          <t>Entity</t>
        </is>
      </c>
      <c r="C332" t="inlineStr">
        <is>
          <t>DesignStatus</t>
        </is>
      </c>
      <c r="D332" s="6" t="inlineStr">
        <is>
          <t>Approved</t>
        </is>
      </c>
      <c r="E332" s="6" t="inlineStr">
        <is>
          <t>Approved</t>
        </is>
      </c>
      <c r="F332" s="12" t="inlineStr">
        <is>
          <t>PASS</t>
        </is>
      </c>
      <c r="G332" t="inlineStr">
        <is>
          <t>BIM-core.DesignStatus</t>
        </is>
      </c>
      <c r="H332" s="6" t="n"/>
    </row>
    <row r="333">
      <c r="A333" t="inlineStr">
        <is>
          <t>CLIENT_USER</t>
        </is>
      </c>
      <c r="B333" t="inlineStr">
        <is>
          <t>Entity</t>
        </is>
      </c>
      <c r="C333" t="inlineStr">
        <is>
          <t>EntityCategory</t>
        </is>
      </c>
      <c r="D333" s="6" t="inlineStr">
        <is>
          <t>Transaction</t>
        </is>
      </c>
      <c r="E333" s="6" t="inlineStr">
        <is>
          <t>Transaction</t>
        </is>
      </c>
      <c r="F333" s="12" t="inlineStr">
        <is>
          <t>PASS</t>
        </is>
      </c>
      <c r="G333" t="inlineStr">
        <is>
          <t>BIM-core.EntityCategory</t>
        </is>
      </c>
      <c r="H333" s="6" t="n"/>
    </row>
    <row r="334">
      <c r="A334" t="inlineStr">
        <is>
          <t>CLIENT_USER</t>
        </is>
      </c>
      <c r="B334" t="inlineStr">
        <is>
          <t>Entity</t>
        </is>
      </c>
      <c r="C334" t="inlineStr">
        <is>
          <t>EntityPersonalData</t>
        </is>
      </c>
      <c r="D334" s="6" t="inlineStr">
        <is>
          <t>No Personal Data</t>
        </is>
      </c>
      <c r="E334" s="6" t="inlineStr">
        <is>
          <t>No Personal Data</t>
        </is>
      </c>
      <c r="F334" s="12" t="inlineStr">
        <is>
          <t>PASS</t>
        </is>
      </c>
      <c r="G334" t="inlineStr">
        <is>
          <t>BIM-core.EntityPersonalData</t>
        </is>
      </c>
      <c r="H334" s="6" t="n"/>
    </row>
    <row r="335">
      <c r="A335" t="inlineStr">
        <is>
          <t>CLIENT_USER</t>
        </is>
      </c>
      <c r="B335" t="inlineStr">
        <is>
          <t>Entity</t>
        </is>
      </c>
      <c r="C335" t="inlineStr">
        <is>
          <t>FinancialPersonalData</t>
        </is>
      </c>
      <c r="D335" s="6" t="inlineStr">
        <is>
          <t>No Financial Personal Data</t>
        </is>
      </c>
      <c r="E335" s="6" t="inlineStr">
        <is>
          <t>No Financial Personal Data</t>
        </is>
      </c>
      <c r="F335" s="12" t="inlineStr">
        <is>
          <t>PASS</t>
        </is>
      </c>
      <c r="G335" t="inlineStr">
        <is>
          <t>BIM-core.FinancialPersonalData</t>
        </is>
      </c>
      <c r="H335" s="6" t="n"/>
    </row>
    <row r="336">
      <c r="A336" t="inlineStr">
        <is>
          <t>CLIENT_USER</t>
        </is>
      </c>
      <c r="B336" t="inlineStr">
        <is>
          <t>Entity</t>
        </is>
      </c>
      <c r="C336" t="inlineStr">
        <is>
          <t>MappingLevel</t>
        </is>
      </c>
      <c r="D336" s="6" t="inlineStr">
        <is>
          <t>BLM</t>
        </is>
      </c>
      <c r="E336" s="6" t="inlineStr">
        <is>
          <t>BLM</t>
        </is>
      </c>
      <c r="F336" s="12" t="inlineStr">
        <is>
          <t>PASS</t>
        </is>
      </c>
      <c r="G336" t="inlineStr">
        <is>
          <t>BIM-core.MappingLevel</t>
        </is>
      </c>
      <c r="H336" s="6" t="n"/>
    </row>
    <row r="337">
      <c r="A337" t="inlineStr">
        <is>
          <t>CLIENT_USER</t>
        </is>
      </c>
      <c r="B337" t="inlineStr">
        <is>
          <t>Entity</t>
        </is>
      </c>
      <c r="C337" t="inlineStr">
        <is>
          <t>MapsToEntity</t>
        </is>
      </c>
      <c r="D337" s="6" t="inlineStr">
        <is>
          <t>EMPLOYEE</t>
        </is>
      </c>
      <c r="E337" s="6" t="inlineStr">
        <is>
          <t>EMPLOYEE</t>
        </is>
      </c>
      <c r="F337" s="12" t="inlineStr">
        <is>
          <t>PASS</t>
        </is>
      </c>
      <c r="G337" t="inlineStr">
        <is>
          <t>BIM-core.MapsToEntity</t>
        </is>
      </c>
      <c r="H337" s="6" t="n"/>
    </row>
    <row r="338">
      <c r="A338" t="inlineStr">
        <is>
          <t>CLIENT_USER</t>
        </is>
      </c>
      <c r="B338" t="inlineStr">
        <is>
          <t>Entity</t>
        </is>
      </c>
      <c r="C338" t="inlineStr">
        <is>
          <t>PD_ObjectID</t>
        </is>
      </c>
      <c r="D338" s="6" t="inlineStr">
        <is>
          <t>1C25A39E-9D6A-4CE9-B8BB-ABDFEA7B6470</t>
        </is>
      </c>
      <c r="E338" s="6" t="inlineStr">
        <is>
          <t>1C25A39E-9D6A-4CE9-B8BB-ABDFEA7B6470</t>
        </is>
      </c>
      <c r="F338" s="12" t="inlineStr">
        <is>
          <t>PASS</t>
        </is>
      </c>
      <c r="H338" s="6" t="n"/>
    </row>
    <row r="339">
      <c r="A339" t="inlineStr">
        <is>
          <t>CLIENT_USER</t>
        </is>
      </c>
      <c r="B339" t="inlineStr">
        <is>
          <t>Entity</t>
        </is>
      </c>
      <c r="C339" t="inlineStr">
        <is>
          <t>PD_SourceExtraction</t>
        </is>
      </c>
      <c r="D339" s="6" t="inlineStr">
        <is>
          <t>46603045</t>
        </is>
      </c>
      <c r="E339" s="6" t="inlineStr">
        <is>
          <t>46603045</t>
        </is>
      </c>
      <c r="F339" s="12" t="inlineStr">
        <is>
          <t>PASS</t>
        </is>
      </c>
      <c r="H339" s="6" t="n"/>
    </row>
    <row r="340">
      <c r="A340" t="inlineStr">
        <is>
          <t>CLIENT_USER</t>
        </is>
      </c>
      <c r="B340" t="inlineStr">
        <is>
          <t>Entity</t>
        </is>
      </c>
      <c r="C340" t="inlineStr">
        <is>
          <t>PD_SourceModel</t>
        </is>
      </c>
      <c r="D340" s="6" t="inlineStr">
        <is>
          <t>05_Carbon_Calculator</t>
        </is>
      </c>
      <c r="E340" s="6" t="inlineStr">
        <is>
          <t>05_Carbon_Calculator</t>
        </is>
      </c>
      <c r="F340" s="12" t="inlineStr">
        <is>
          <t>PASS</t>
        </is>
      </c>
      <c r="H340" s="6" t="n"/>
    </row>
    <row r="341">
      <c r="A341" t="inlineStr">
        <is>
          <t>CLIENT_USER</t>
        </is>
      </c>
      <c r="B341" t="inlineStr">
        <is>
          <t>Entity</t>
        </is>
      </c>
      <c r="C341" t="inlineStr">
        <is>
          <t>SensitivePersonalData</t>
        </is>
      </c>
      <c r="D341" s="6" t="inlineStr">
        <is>
          <t>No Sensitive Personal Data</t>
        </is>
      </c>
      <c r="E341" s="6" t="inlineStr">
        <is>
          <t>No Sensitive Personal Data</t>
        </is>
      </c>
      <c r="F341" s="12" t="inlineStr">
        <is>
          <t>PASS</t>
        </is>
      </c>
      <c r="G341" t="inlineStr">
        <is>
          <t>BIM-core.SensitivePersonalData</t>
        </is>
      </c>
      <c r="H341" s="6" t="n"/>
    </row>
    <row r="342">
      <c r="A342" t="inlineStr">
        <is>
          <t>DATA_REQUEST</t>
        </is>
      </c>
      <c r="B342" t="inlineStr">
        <is>
          <t>Entity</t>
        </is>
      </c>
      <c r="C342" t="inlineStr">
        <is>
          <t>CommerciallySensitiveInformation</t>
        </is>
      </c>
      <c r="D342" s="6" t="inlineStr">
        <is>
          <t>No Commercially Sensitive Information</t>
        </is>
      </c>
      <c r="E342" s="6" t="inlineStr">
        <is>
          <t>No Commercially Sensitive Information</t>
        </is>
      </c>
      <c r="F342" s="12" t="inlineStr">
        <is>
          <t>PASS</t>
        </is>
      </c>
      <c r="G342" t="inlineStr">
        <is>
          <t>BIM-core.CommerciallySensitiveInformation</t>
        </is>
      </c>
      <c r="H342" s="6" t="n"/>
    </row>
    <row r="343">
      <c r="A343" t="inlineStr">
        <is>
          <t>DATA_REQUEST</t>
        </is>
      </c>
      <c r="B343" t="inlineStr">
        <is>
          <t>Entity</t>
        </is>
      </c>
      <c r="C343" t="inlineStr">
        <is>
          <t>Criticality</t>
        </is>
      </c>
      <c r="D343" s="6" t="inlineStr">
        <is>
          <t>No Critical Data</t>
        </is>
      </c>
      <c r="E343" s="6" t="inlineStr">
        <is>
          <t>No Critical Data</t>
        </is>
      </c>
      <c r="F343" s="12" t="inlineStr">
        <is>
          <t>PASS</t>
        </is>
      </c>
      <c r="G343" t="inlineStr">
        <is>
          <t>BIM-core.Criticality</t>
        </is>
      </c>
      <c r="H343" s="6" t="n"/>
    </row>
    <row r="344">
      <c r="A344" t="inlineStr">
        <is>
          <t>DATA_REQUEST</t>
        </is>
      </c>
      <c r="B344" t="inlineStr">
        <is>
          <t>Entity</t>
        </is>
      </c>
      <c r="C344" t="inlineStr">
        <is>
          <t>DataCategory</t>
        </is>
      </c>
      <c r="D344" s="6" t="inlineStr">
        <is>
          <t>Structured</t>
        </is>
      </c>
      <c r="E344" s="6" t="inlineStr">
        <is>
          <t>Structured</t>
        </is>
      </c>
      <c r="F344" s="12" t="inlineStr">
        <is>
          <t>PASS</t>
        </is>
      </c>
      <c r="G344" t="inlineStr">
        <is>
          <t>BIM-core.DataCategory</t>
        </is>
      </c>
      <c r="H344" s="6" t="n"/>
    </row>
    <row r="345">
      <c r="A345" t="inlineStr">
        <is>
          <t>DATA_REQUEST</t>
        </is>
      </c>
      <c r="B345" t="inlineStr">
        <is>
          <t>Entity</t>
        </is>
      </c>
      <c r="C345" t="inlineStr">
        <is>
          <t>DataConfidentiality</t>
        </is>
      </c>
      <c r="D345" s="6" t="inlineStr">
        <is>
          <t>Internal</t>
        </is>
      </c>
      <c r="E345" s="6" t="inlineStr">
        <is>
          <t>Internal</t>
        </is>
      </c>
      <c r="F345" s="12" t="inlineStr">
        <is>
          <t>PASS</t>
        </is>
      </c>
      <c r="G345" t="inlineStr">
        <is>
          <t>BIM-core.DataConfidentiality</t>
        </is>
      </c>
      <c r="H345" s="6" t="n"/>
    </row>
    <row r="346">
      <c r="A346" t="inlineStr">
        <is>
          <t>DATA_REQUEST</t>
        </is>
      </c>
      <c r="B346" t="inlineStr">
        <is>
          <t>Entity</t>
        </is>
      </c>
      <c r="C346" t="inlineStr">
        <is>
          <t>DesignStatus</t>
        </is>
      </c>
      <c r="D346" s="6" t="inlineStr">
        <is>
          <t>Approved</t>
        </is>
      </c>
      <c r="E346" s="6" t="inlineStr">
        <is>
          <t>Approved</t>
        </is>
      </c>
      <c r="F346" s="12" t="inlineStr">
        <is>
          <t>PASS</t>
        </is>
      </c>
      <c r="G346" t="inlineStr">
        <is>
          <t>BIM-core.DesignStatus</t>
        </is>
      </c>
      <c r="H346" s="6" t="n"/>
    </row>
    <row r="347">
      <c r="A347" t="inlineStr">
        <is>
          <t>DATA_REQUEST</t>
        </is>
      </c>
      <c r="B347" t="inlineStr">
        <is>
          <t>Entity</t>
        </is>
      </c>
      <c r="C347" t="inlineStr">
        <is>
          <t>EntityCategory</t>
        </is>
      </c>
      <c r="D347" s="6" t="inlineStr">
        <is>
          <t>Transaction</t>
        </is>
      </c>
      <c r="E347" s="6" t="inlineStr">
        <is>
          <t>Transaction</t>
        </is>
      </c>
      <c r="F347" s="12" t="inlineStr">
        <is>
          <t>PASS</t>
        </is>
      </c>
      <c r="G347" t="inlineStr">
        <is>
          <t>BIM-core.EntityCategory</t>
        </is>
      </c>
      <c r="H347" s="6" t="n"/>
    </row>
    <row r="348">
      <c r="A348" t="inlineStr">
        <is>
          <t>DATA_REQUEST</t>
        </is>
      </c>
      <c r="B348" t="inlineStr">
        <is>
          <t>Entity</t>
        </is>
      </c>
      <c r="C348" t="inlineStr">
        <is>
          <t>EntityPersonalData</t>
        </is>
      </c>
      <c r="D348" s="6" t="inlineStr">
        <is>
          <t>No Personal Data</t>
        </is>
      </c>
      <c r="E348" s="6" t="inlineStr">
        <is>
          <t>No Personal Data</t>
        </is>
      </c>
      <c r="F348" s="12" t="inlineStr">
        <is>
          <t>PASS</t>
        </is>
      </c>
      <c r="G348" t="inlineStr">
        <is>
          <t>BIM-core.EntityPersonalData</t>
        </is>
      </c>
      <c r="H348" s="6" t="n"/>
    </row>
    <row r="349">
      <c r="A349" t="inlineStr">
        <is>
          <t>DATA_REQUEST</t>
        </is>
      </c>
      <c r="B349" t="inlineStr">
        <is>
          <t>Entity</t>
        </is>
      </c>
      <c r="C349" t="inlineStr">
        <is>
          <t>FinancialPersonalData</t>
        </is>
      </c>
      <c r="D349" s="6" t="inlineStr">
        <is>
          <t>No Financial Personal Data</t>
        </is>
      </c>
      <c r="E349" s="6" t="inlineStr">
        <is>
          <t>No Financial Personal Data</t>
        </is>
      </c>
      <c r="F349" s="12" t="inlineStr">
        <is>
          <t>PASS</t>
        </is>
      </c>
      <c r="G349" t="inlineStr">
        <is>
          <t>BIM-core.FinancialPersonalData</t>
        </is>
      </c>
      <c r="H349" s="6" t="n"/>
    </row>
    <row r="350">
      <c r="A350" t="inlineStr">
        <is>
          <t>DATA_REQUEST</t>
        </is>
      </c>
      <c r="B350" t="inlineStr">
        <is>
          <t>Entity</t>
        </is>
      </c>
      <c r="C350" t="inlineStr">
        <is>
          <t>MTED_EDaM_Mapping_Note</t>
        </is>
      </c>
      <c r="D350" s="6" t="inlineStr">
        <is>
          <t>{\rtf1\ansi\ansicpg1252\deff0\nouicompat\deflang2057{\fonttbl{\f0\fnil\fcharset0 Times New Roman;}}</t>
        </is>
      </c>
      <c r="E350" s="6" t="inlineStr">
        <is>
          <t>{\rtf1\ansi\ansicpg1252\deff0\nouicompat\deflang2057{\fonttbl{\f0\fnil\fcharset0 Times New Roman;}}</t>
        </is>
      </c>
      <c r="F350" s="12" t="inlineStr">
        <is>
          <t>PASS</t>
        </is>
      </c>
      <c r="G350" t="inlineStr">
        <is>
          <t>BIM-core.MTED_EDaM_Mapping_Note</t>
        </is>
      </c>
      <c r="H350" s="6" t="n"/>
    </row>
    <row r="351">
      <c r="A351" t="inlineStr">
        <is>
          <t>DATA_REQUEST</t>
        </is>
      </c>
      <c r="B351" t="inlineStr">
        <is>
          <t>Entity</t>
        </is>
      </c>
      <c r="C351" t="inlineStr">
        <is>
          <t>MappingLevel</t>
        </is>
      </c>
      <c r="D351" s="6" t="inlineStr">
        <is>
          <t>Application Specific</t>
        </is>
      </c>
      <c r="E351" s="6" t="inlineStr">
        <is>
          <t>Application Specific</t>
        </is>
      </c>
      <c r="F351" s="12" t="inlineStr">
        <is>
          <t>PASS</t>
        </is>
      </c>
      <c r="G351" t="inlineStr">
        <is>
          <t>BIM-core.MappingLevel</t>
        </is>
      </c>
      <c r="H351" s="6" t="n"/>
    </row>
    <row r="352">
      <c r="A352" t="inlineStr">
        <is>
          <t>DATA_REQUEST</t>
        </is>
      </c>
      <c r="B352" t="inlineStr">
        <is>
          <t>Entity</t>
        </is>
      </c>
      <c r="C352" t="inlineStr">
        <is>
          <t>PD_ObjectID</t>
        </is>
      </c>
      <c r="D352" s="6" t="inlineStr">
        <is>
          <t>0CB4099C-534A-4943-A3C0-80E3500D9C99</t>
        </is>
      </c>
      <c r="E352" s="6" t="inlineStr">
        <is>
          <t>0CB4099C-534A-4943-A3C0-80E3500D9C99</t>
        </is>
      </c>
      <c r="F352" s="12" t="inlineStr">
        <is>
          <t>PASS</t>
        </is>
      </c>
      <c r="H352" s="6" t="n"/>
    </row>
    <row r="353">
      <c r="A353" t="inlineStr">
        <is>
          <t>DATA_REQUEST</t>
        </is>
      </c>
      <c r="B353" t="inlineStr">
        <is>
          <t>Entity</t>
        </is>
      </c>
      <c r="C353" t="inlineStr">
        <is>
          <t>PD_SourceExtraction</t>
        </is>
      </c>
      <c r="D353" s="6" t="inlineStr">
        <is>
          <t>46603045</t>
        </is>
      </c>
      <c r="E353" s="6" t="inlineStr">
        <is>
          <t>46603045</t>
        </is>
      </c>
      <c r="F353" s="12" t="inlineStr">
        <is>
          <t>PASS</t>
        </is>
      </c>
      <c r="H353" s="6" t="n"/>
    </row>
    <row r="354">
      <c r="A354" t="inlineStr">
        <is>
          <t>DATA_REQUEST</t>
        </is>
      </c>
      <c r="B354" t="inlineStr">
        <is>
          <t>Entity</t>
        </is>
      </c>
      <c r="C354" t="inlineStr">
        <is>
          <t>PD_SourceModel</t>
        </is>
      </c>
      <c r="D354" s="6" t="inlineStr">
        <is>
          <t>05_Carbon_Calculator</t>
        </is>
      </c>
      <c r="E354" s="6" t="inlineStr">
        <is>
          <t>05_Carbon_Calculator</t>
        </is>
      </c>
      <c r="F354" s="12" t="inlineStr">
        <is>
          <t>PASS</t>
        </is>
      </c>
      <c r="H354" s="6" t="n"/>
    </row>
    <row r="355">
      <c r="A355" t="inlineStr">
        <is>
          <t>DATA_REQUEST</t>
        </is>
      </c>
      <c r="B355" t="inlineStr">
        <is>
          <t>Entity</t>
        </is>
      </c>
      <c r="C355" t="inlineStr">
        <is>
          <t>SensitivePersonalData</t>
        </is>
      </c>
      <c r="D355" s="6" t="inlineStr">
        <is>
          <t>No Sensitive Personal Data</t>
        </is>
      </c>
      <c r="E355" s="6" t="inlineStr">
        <is>
          <t>No Sensitive Personal Data</t>
        </is>
      </c>
      <c r="F355" s="12" t="inlineStr">
        <is>
          <t>PASS</t>
        </is>
      </c>
      <c r="G355" t="inlineStr">
        <is>
          <t>BIM-core.SensitivePersonalData</t>
        </is>
      </c>
      <c r="H355" s="6" t="n"/>
    </row>
    <row r="356">
      <c r="A356" t="inlineStr">
        <is>
          <t>DIMENSION</t>
        </is>
      </c>
      <c r="B356" t="inlineStr">
        <is>
          <t>Entity</t>
        </is>
      </c>
      <c r="C356" t="inlineStr">
        <is>
          <t>CSI</t>
        </is>
      </c>
      <c r="D356" s="6" t="inlineStr">
        <is>
          <t>false</t>
        </is>
      </c>
      <c r="E356" s="6" t="inlineStr">
        <is>
          <t>false</t>
        </is>
      </c>
      <c r="F356" s="12" t="inlineStr">
        <is>
          <t>PASS</t>
        </is>
      </c>
      <c r="G356" t="inlineStr">
        <is>
          <t>SHL_LDM_EntityPropertyExtension.CSI</t>
        </is>
      </c>
      <c r="H356" s="6" t="n"/>
    </row>
    <row r="357">
      <c r="A357" t="inlineStr">
        <is>
          <t>DIMENSION</t>
        </is>
      </c>
      <c r="B357" t="inlineStr">
        <is>
          <t>Entity</t>
        </is>
      </c>
      <c r="C357" t="inlineStr">
        <is>
          <t>CommerciallySensitiveInformation</t>
        </is>
      </c>
      <c r="D357" s="6" t="inlineStr">
        <is>
          <t>No Commercially Sensitive Information</t>
        </is>
      </c>
      <c r="E357" s="6" t="inlineStr">
        <is>
          <t>No Commercially Sensitive Information</t>
        </is>
      </c>
      <c r="F357" s="12" t="inlineStr">
        <is>
          <t>PASS</t>
        </is>
      </c>
      <c r="G357" t="inlineStr">
        <is>
          <t>BIM-core.CommerciallySensitiveInformation</t>
        </is>
      </c>
      <c r="H357" s="6" t="n"/>
    </row>
    <row r="358">
      <c r="A358" t="inlineStr">
        <is>
          <t>DIMENSION</t>
        </is>
      </c>
      <c r="B358" t="inlineStr">
        <is>
          <t>Entity</t>
        </is>
      </c>
      <c r="C358" t="inlineStr">
        <is>
          <t>Criticality</t>
        </is>
      </c>
      <c r="D358" s="6" t="inlineStr">
        <is>
          <t>No Critical Data</t>
        </is>
      </c>
      <c r="E358" s="6" t="inlineStr">
        <is>
          <t>No Critical Data</t>
        </is>
      </c>
      <c r="F358" s="12" t="inlineStr">
        <is>
          <t>PASS</t>
        </is>
      </c>
      <c r="G358" t="inlineStr">
        <is>
          <t>BIM-core.Criticality</t>
        </is>
      </c>
      <c r="H358" s="6" t="n"/>
    </row>
    <row r="359">
      <c r="A359" t="inlineStr">
        <is>
          <t>DIMENSION</t>
        </is>
      </c>
      <c r="B359" t="inlineStr">
        <is>
          <t>Entity</t>
        </is>
      </c>
      <c r="C359" t="inlineStr">
        <is>
          <t>DataCategory</t>
        </is>
      </c>
      <c r="D359" s="6" t="inlineStr">
        <is>
          <t>Structured</t>
        </is>
      </c>
      <c r="E359" s="6" t="inlineStr">
        <is>
          <t>Structured</t>
        </is>
      </c>
      <c r="F359" s="12" t="inlineStr">
        <is>
          <t>PASS</t>
        </is>
      </c>
      <c r="G359" t="inlineStr">
        <is>
          <t>BIM-core.DataCategory</t>
        </is>
      </c>
      <c r="H359" s="6" t="n"/>
    </row>
    <row r="360">
      <c r="A360" t="inlineStr">
        <is>
          <t>DIMENSION</t>
        </is>
      </c>
      <c r="B360" t="inlineStr">
        <is>
          <t>Entity</t>
        </is>
      </c>
      <c r="C360" t="inlineStr">
        <is>
          <t>DataConfidentiality</t>
        </is>
      </c>
      <c r="D360" s="6" t="inlineStr">
        <is>
          <t>Internal</t>
        </is>
      </c>
      <c r="E360" s="6" t="inlineStr">
        <is>
          <t>Internal</t>
        </is>
      </c>
      <c r="F360" s="12" t="inlineStr">
        <is>
          <t>PASS</t>
        </is>
      </c>
      <c r="G360" t="inlineStr">
        <is>
          <t>BIM-core.DataConfidentiality</t>
        </is>
      </c>
      <c r="H360" s="6" t="n"/>
    </row>
    <row r="361">
      <c r="A361" t="inlineStr">
        <is>
          <t>DIMENSION</t>
        </is>
      </c>
      <c r="B361" t="inlineStr">
        <is>
          <t>Entity</t>
        </is>
      </c>
      <c r="C361" t="inlineStr">
        <is>
          <t>DesignStatus</t>
        </is>
      </c>
      <c r="D361" s="6" t="inlineStr">
        <is>
          <t>Approved</t>
        </is>
      </c>
      <c r="E361" s="6" t="inlineStr">
        <is>
          <t>Approved</t>
        </is>
      </c>
      <c r="F361" s="12" t="inlineStr">
        <is>
          <t>PASS</t>
        </is>
      </c>
      <c r="G361" t="inlineStr">
        <is>
          <t>BIM-core.DesignStatus</t>
        </is>
      </c>
      <c r="H361" s="6" t="n"/>
    </row>
    <row r="362">
      <c r="A362" t="inlineStr">
        <is>
          <t>DIMENSION</t>
        </is>
      </c>
      <c r="B362" t="inlineStr">
        <is>
          <t>Entity</t>
        </is>
      </c>
      <c r="C362" t="inlineStr">
        <is>
          <t>EntityCategory</t>
        </is>
      </c>
      <c r="D362" s="6" t="inlineStr">
        <is>
          <t>Master</t>
        </is>
      </c>
      <c r="E362" s="6" t="inlineStr">
        <is>
          <t>Master</t>
        </is>
      </c>
      <c r="F362" s="12" t="inlineStr">
        <is>
          <t>PASS</t>
        </is>
      </c>
      <c r="G362" t="inlineStr">
        <is>
          <t>BIM-core.EntityCategory</t>
        </is>
      </c>
      <c r="H362" s="6" t="n"/>
    </row>
    <row r="363">
      <c r="A363" t="inlineStr">
        <is>
          <t>DIMENSION</t>
        </is>
      </c>
      <c r="B363" t="inlineStr">
        <is>
          <t>Entity</t>
        </is>
      </c>
      <c r="C363" t="inlineStr">
        <is>
          <t>EntityPersonalData</t>
        </is>
      </c>
      <c r="D363" s="6" t="inlineStr">
        <is>
          <t>No Personal Data</t>
        </is>
      </c>
      <c r="E363" s="6" t="inlineStr">
        <is>
          <t>No Personal Data</t>
        </is>
      </c>
      <c r="F363" s="12" t="inlineStr">
        <is>
          <t>PASS</t>
        </is>
      </c>
      <c r="G363" t="inlineStr">
        <is>
          <t>BIM-core.EntityPersonalData</t>
        </is>
      </c>
      <c r="H363" s="6" t="n"/>
    </row>
    <row r="364">
      <c r="A364" t="inlineStr">
        <is>
          <t>DIMENSION</t>
        </is>
      </c>
      <c r="B364" t="inlineStr">
        <is>
          <t>Entity</t>
        </is>
      </c>
      <c r="C364" t="inlineStr">
        <is>
          <t>FinancialPersonalData</t>
        </is>
      </c>
      <c r="D364" s="6" t="inlineStr">
        <is>
          <t>No Financial Personal Data</t>
        </is>
      </c>
      <c r="E364" s="6" t="inlineStr">
        <is>
          <t>No Financial Personal Data</t>
        </is>
      </c>
      <c r="F364" s="12" t="inlineStr">
        <is>
          <t>PASS</t>
        </is>
      </c>
      <c r="G364" t="inlineStr">
        <is>
          <t>BIM-core.FinancialPersonalData</t>
        </is>
      </c>
      <c r="H364" s="6" t="n"/>
    </row>
    <row r="365">
      <c r="A365" t="inlineStr">
        <is>
          <t>DIMENSION</t>
        </is>
      </c>
      <c r="B365" t="inlineStr">
        <is>
          <t>Entity</t>
        </is>
      </c>
      <c r="C365" t="inlineStr">
        <is>
          <t>MTED_Encryption_Required</t>
        </is>
      </c>
      <c r="D365" s="6" t="inlineStr">
        <is>
          <t>false</t>
        </is>
      </c>
      <c r="E365" s="6" t="inlineStr">
        <is>
          <t>false</t>
        </is>
      </c>
      <c r="F365" s="12" t="inlineStr">
        <is>
          <t>PASS</t>
        </is>
      </c>
      <c r="G365" t="inlineStr">
        <is>
          <t>SHL_LDM_EntityPropertyExtension.MTED_Encryption_Required</t>
        </is>
      </c>
      <c r="H365" s="6" t="n"/>
    </row>
    <row r="366">
      <c r="A366" t="inlineStr">
        <is>
          <t>DIMENSION</t>
        </is>
      </c>
      <c r="B366" t="inlineStr">
        <is>
          <t>Entity</t>
        </is>
      </c>
      <c r="C366" t="inlineStr">
        <is>
          <t>MappingLevel</t>
        </is>
      </c>
      <c r="D366" s="6" t="inlineStr">
        <is>
          <t>BLM</t>
        </is>
      </c>
      <c r="E366" s="6" t="inlineStr">
        <is>
          <t>BLM</t>
        </is>
      </c>
      <c r="F366" s="12" t="inlineStr">
        <is>
          <t>PASS</t>
        </is>
      </c>
      <c r="G366" t="inlineStr">
        <is>
          <t>BIM-core.MappingLevel</t>
        </is>
      </c>
      <c r="H366" s="6" t="n"/>
    </row>
    <row r="367">
      <c r="A367" t="inlineStr">
        <is>
          <t>DIMENSION</t>
        </is>
      </c>
      <c r="B367" t="inlineStr">
        <is>
          <t>Entity</t>
        </is>
      </c>
      <c r="C367" t="inlineStr">
        <is>
          <t>MapsToEntity</t>
        </is>
      </c>
      <c r="D367" s="6" t="inlineStr">
        <is>
          <t>EMISSION_DIMENSION</t>
        </is>
      </c>
      <c r="E367" s="6" t="inlineStr">
        <is>
          <t>EMISSION_DIMENSION</t>
        </is>
      </c>
      <c r="F367" s="12" t="inlineStr">
        <is>
          <t>PASS</t>
        </is>
      </c>
      <c r="G367" t="inlineStr">
        <is>
          <t>BIM-core.MapsToEntity</t>
        </is>
      </c>
      <c r="H367" s="6" t="n"/>
    </row>
    <row r="368">
      <c r="A368" t="inlineStr">
        <is>
          <t>DIMENSION</t>
        </is>
      </c>
      <c r="B368" t="inlineStr">
        <is>
          <t>Entity</t>
        </is>
      </c>
      <c r="C368" t="inlineStr">
        <is>
          <t>PD_ObjectID</t>
        </is>
      </c>
      <c r="D368" s="6" t="inlineStr">
        <is>
          <t>8B3A2653-D178-47AF-8A66-46E601CD7BB5</t>
        </is>
      </c>
      <c r="E368" s="6" t="inlineStr">
        <is>
          <t>8B3A2653-D178-47AF-8A66-46E601CD7BB5</t>
        </is>
      </c>
      <c r="F368" s="12" t="inlineStr">
        <is>
          <t>PASS</t>
        </is>
      </c>
      <c r="H368" s="6" t="n"/>
    </row>
    <row r="369">
      <c r="A369" t="inlineStr">
        <is>
          <t>DIMENSION</t>
        </is>
      </c>
      <c r="B369" t="inlineStr">
        <is>
          <t>Entity</t>
        </is>
      </c>
      <c r="C369" t="inlineStr">
        <is>
          <t>PD_SourceExtraction</t>
        </is>
      </c>
      <c r="D369" s="6" t="inlineStr">
        <is>
          <t>46603045</t>
        </is>
      </c>
      <c r="E369" s="6" t="inlineStr">
        <is>
          <t>46603045</t>
        </is>
      </c>
      <c r="F369" s="12" t="inlineStr">
        <is>
          <t>PASS</t>
        </is>
      </c>
      <c r="H369" s="6" t="n"/>
    </row>
    <row r="370">
      <c r="A370" t="inlineStr">
        <is>
          <t>DIMENSION</t>
        </is>
      </c>
      <c r="B370" t="inlineStr">
        <is>
          <t>Entity</t>
        </is>
      </c>
      <c r="C370" t="inlineStr">
        <is>
          <t>PD_SourceModel</t>
        </is>
      </c>
      <c r="D370" s="6" t="inlineStr">
        <is>
          <t>05_Carbon_Calculator</t>
        </is>
      </c>
      <c r="E370" s="6" t="inlineStr">
        <is>
          <t>05_Carbon_Calculator</t>
        </is>
      </c>
      <c r="F370" s="12" t="inlineStr">
        <is>
          <t>PASS</t>
        </is>
      </c>
      <c r="H370" s="6" t="n"/>
    </row>
    <row r="371">
      <c r="A371" t="inlineStr">
        <is>
          <t>DIMENSION</t>
        </is>
      </c>
      <c r="B371" t="inlineStr">
        <is>
          <t>Entity</t>
        </is>
      </c>
      <c r="C371" t="inlineStr">
        <is>
          <t>SensitivePersonalData</t>
        </is>
      </c>
      <c r="D371" s="6" t="inlineStr">
        <is>
          <t>No Sensitive Personal Data</t>
        </is>
      </c>
      <c r="E371" s="6" t="inlineStr">
        <is>
          <t>No Sensitive Personal Data</t>
        </is>
      </c>
      <c r="F371" s="12" t="inlineStr">
        <is>
          <t>PASS</t>
        </is>
      </c>
      <c r="G371" t="inlineStr">
        <is>
          <t>BIM-core.SensitivePersonalData</t>
        </is>
      </c>
      <c r="H371" s="6" t="n"/>
    </row>
    <row r="372">
      <c r="A372" t="inlineStr">
        <is>
          <t>DIMENSION_VALUE</t>
        </is>
      </c>
      <c r="B372" t="inlineStr">
        <is>
          <t>Entity</t>
        </is>
      </c>
      <c r="C372" t="inlineStr">
        <is>
          <t>CSI</t>
        </is>
      </c>
      <c r="D372" s="6" t="inlineStr">
        <is>
          <t>false</t>
        </is>
      </c>
      <c r="E372" s="6" t="inlineStr">
        <is>
          <t>false</t>
        </is>
      </c>
      <c r="F372" s="12" t="inlineStr">
        <is>
          <t>PASS</t>
        </is>
      </c>
      <c r="G372" t="inlineStr">
        <is>
          <t>SHL_LDM_EntityPropertyExtension.CSI</t>
        </is>
      </c>
      <c r="H372" s="6" t="n"/>
    </row>
    <row r="373">
      <c r="A373" t="inlineStr">
        <is>
          <t>DIMENSION_VALUE</t>
        </is>
      </c>
      <c r="B373" t="inlineStr">
        <is>
          <t>Entity</t>
        </is>
      </c>
      <c r="C373" t="inlineStr">
        <is>
          <t>CommerciallySensitiveInformation</t>
        </is>
      </c>
      <c r="D373" s="6" t="inlineStr">
        <is>
          <t>No Commercially Sensitive Information</t>
        </is>
      </c>
      <c r="E373" s="6" t="inlineStr">
        <is>
          <t>No Commercially Sensitive Information</t>
        </is>
      </c>
      <c r="F373" s="12" t="inlineStr">
        <is>
          <t>PASS</t>
        </is>
      </c>
      <c r="G373" t="inlineStr">
        <is>
          <t>BIM-core.CommerciallySensitiveInformation</t>
        </is>
      </c>
      <c r="H373" s="6" t="n"/>
    </row>
    <row r="374">
      <c r="A374" t="inlineStr">
        <is>
          <t>DIMENSION_VALUE</t>
        </is>
      </c>
      <c r="B374" t="inlineStr">
        <is>
          <t>Entity</t>
        </is>
      </c>
      <c r="C374" t="inlineStr">
        <is>
          <t>Criticality</t>
        </is>
      </c>
      <c r="D374" s="6" t="inlineStr">
        <is>
          <t>No Critical Data</t>
        </is>
      </c>
      <c r="E374" s="6" t="inlineStr">
        <is>
          <t>No Critical Data</t>
        </is>
      </c>
      <c r="F374" s="12" t="inlineStr">
        <is>
          <t>PASS</t>
        </is>
      </c>
      <c r="G374" t="inlineStr">
        <is>
          <t>BIM-core.Criticality</t>
        </is>
      </c>
      <c r="H374" s="6" t="n"/>
    </row>
    <row r="375">
      <c r="A375" t="inlineStr">
        <is>
          <t>DIMENSION_VALUE</t>
        </is>
      </c>
      <c r="B375" t="inlineStr">
        <is>
          <t>Entity</t>
        </is>
      </c>
      <c r="C375" t="inlineStr">
        <is>
          <t>DataCategory</t>
        </is>
      </c>
      <c r="D375" s="6" t="inlineStr">
        <is>
          <t>Structured</t>
        </is>
      </c>
      <c r="E375" s="6" t="inlineStr">
        <is>
          <t>Structured</t>
        </is>
      </c>
      <c r="F375" s="12" t="inlineStr">
        <is>
          <t>PASS</t>
        </is>
      </c>
      <c r="G375" t="inlineStr">
        <is>
          <t>BIM-core.DataCategory</t>
        </is>
      </c>
      <c r="H375" s="6" t="n"/>
    </row>
    <row r="376">
      <c r="A376" t="inlineStr">
        <is>
          <t>DIMENSION_VALUE</t>
        </is>
      </c>
      <c r="B376" t="inlineStr">
        <is>
          <t>Entity</t>
        </is>
      </c>
      <c r="C376" t="inlineStr">
        <is>
          <t>DataConfidentiality</t>
        </is>
      </c>
      <c r="D376" s="6" t="inlineStr">
        <is>
          <t>Internal</t>
        </is>
      </c>
      <c r="E376" s="6" t="inlineStr">
        <is>
          <t>Internal</t>
        </is>
      </c>
      <c r="F376" s="12" t="inlineStr">
        <is>
          <t>PASS</t>
        </is>
      </c>
      <c r="G376" t="inlineStr">
        <is>
          <t>BIM-core.DataConfidentiality</t>
        </is>
      </c>
      <c r="H376" s="6" t="n"/>
    </row>
    <row r="377">
      <c r="A377" t="inlineStr">
        <is>
          <t>DIMENSION_VALUE</t>
        </is>
      </c>
      <c r="B377" t="inlineStr">
        <is>
          <t>Entity</t>
        </is>
      </c>
      <c r="C377" t="inlineStr">
        <is>
          <t>DesignStatus</t>
        </is>
      </c>
      <c r="D377" s="6" t="inlineStr">
        <is>
          <t>Approved</t>
        </is>
      </c>
      <c r="E377" s="6" t="inlineStr">
        <is>
          <t>Approved</t>
        </is>
      </c>
      <c r="F377" s="12" t="inlineStr">
        <is>
          <t>PASS</t>
        </is>
      </c>
      <c r="G377" t="inlineStr">
        <is>
          <t>BIM-core.DesignStatus</t>
        </is>
      </c>
      <c r="H377" s="6" t="n"/>
    </row>
    <row r="378">
      <c r="A378" t="inlineStr">
        <is>
          <t>DIMENSION_VALUE</t>
        </is>
      </c>
      <c r="B378" t="inlineStr">
        <is>
          <t>Entity</t>
        </is>
      </c>
      <c r="C378" t="inlineStr">
        <is>
          <t>EntityCategory</t>
        </is>
      </c>
      <c r="D378" s="6" t="inlineStr">
        <is>
          <t>Master</t>
        </is>
      </c>
      <c r="E378" s="6" t="inlineStr">
        <is>
          <t>Master</t>
        </is>
      </c>
      <c r="F378" s="12" t="inlineStr">
        <is>
          <t>PASS</t>
        </is>
      </c>
      <c r="G378" t="inlineStr">
        <is>
          <t>BIM-core.EntityCategory</t>
        </is>
      </c>
      <c r="H378" s="6" t="n"/>
    </row>
    <row r="379">
      <c r="A379" t="inlineStr">
        <is>
          <t>DIMENSION_VALUE</t>
        </is>
      </c>
      <c r="B379" t="inlineStr">
        <is>
          <t>Entity</t>
        </is>
      </c>
      <c r="C379" t="inlineStr">
        <is>
          <t>EntityPersonalData</t>
        </is>
      </c>
      <c r="D379" s="6" t="inlineStr">
        <is>
          <t>No Personal Data</t>
        </is>
      </c>
      <c r="E379" s="6" t="inlineStr">
        <is>
          <t>No Personal Data</t>
        </is>
      </c>
      <c r="F379" s="12" t="inlineStr">
        <is>
          <t>PASS</t>
        </is>
      </c>
      <c r="G379" t="inlineStr">
        <is>
          <t>BIM-core.EntityPersonalData</t>
        </is>
      </c>
      <c r="H379" s="6" t="n"/>
    </row>
    <row r="380">
      <c r="A380" t="inlineStr">
        <is>
          <t>DIMENSION_VALUE</t>
        </is>
      </c>
      <c r="B380" t="inlineStr">
        <is>
          <t>Entity</t>
        </is>
      </c>
      <c r="C380" t="inlineStr">
        <is>
          <t>FinancialPersonalData</t>
        </is>
      </c>
      <c r="D380" s="6" t="inlineStr">
        <is>
          <t>No Financial Personal Data</t>
        </is>
      </c>
      <c r="E380" s="6" t="inlineStr">
        <is>
          <t>No Financial Personal Data</t>
        </is>
      </c>
      <c r="F380" s="12" t="inlineStr">
        <is>
          <t>PASS</t>
        </is>
      </c>
      <c r="G380" t="inlineStr">
        <is>
          <t>BIM-core.FinancialPersonalData</t>
        </is>
      </c>
      <c r="H380" s="6" t="n"/>
    </row>
    <row r="381">
      <c r="A381" t="inlineStr">
        <is>
          <t>DIMENSION_VALUE</t>
        </is>
      </c>
      <c r="B381" t="inlineStr">
        <is>
          <t>Entity</t>
        </is>
      </c>
      <c r="C381" t="inlineStr">
        <is>
          <t>MTED_Encryption_Required</t>
        </is>
      </c>
      <c r="D381" s="6" t="inlineStr">
        <is>
          <t>false</t>
        </is>
      </c>
      <c r="E381" s="6" t="inlineStr">
        <is>
          <t>false</t>
        </is>
      </c>
      <c r="F381" s="12" t="inlineStr">
        <is>
          <t>PASS</t>
        </is>
      </c>
      <c r="G381" t="inlineStr">
        <is>
          <t>SHL_LDM_EntityPropertyExtension.MTED_Encryption_Required</t>
        </is>
      </c>
      <c r="H381" s="6" t="n"/>
    </row>
    <row r="382">
      <c r="A382" t="inlineStr">
        <is>
          <t>DIMENSION_VALUE</t>
        </is>
      </c>
      <c r="B382" t="inlineStr">
        <is>
          <t>Entity</t>
        </is>
      </c>
      <c r="C382" t="inlineStr">
        <is>
          <t>MappingLevel</t>
        </is>
      </c>
      <c r="D382" s="6" t="inlineStr">
        <is>
          <t>BLM</t>
        </is>
      </c>
      <c r="E382" s="6" t="inlineStr">
        <is>
          <t>BLM</t>
        </is>
      </c>
      <c r="F382" s="12" t="inlineStr">
        <is>
          <t>PASS</t>
        </is>
      </c>
      <c r="G382" t="inlineStr">
        <is>
          <t>BIM-core.MappingLevel</t>
        </is>
      </c>
      <c r="H382" s="6" t="n"/>
    </row>
    <row r="383">
      <c r="A383" t="inlineStr">
        <is>
          <t>DIMENSION_VALUE</t>
        </is>
      </c>
      <c r="B383" t="inlineStr">
        <is>
          <t>Entity</t>
        </is>
      </c>
      <c r="C383" t="inlineStr">
        <is>
          <t>MapsToEntity</t>
        </is>
      </c>
      <c r="D383" s="6" t="inlineStr">
        <is>
          <t>EMISSION_DIMENSION_VALUE</t>
        </is>
      </c>
      <c r="E383" s="6" t="inlineStr">
        <is>
          <t>EMISSION_DIMENSION_VALUE</t>
        </is>
      </c>
      <c r="F383" s="12" t="inlineStr">
        <is>
          <t>PASS</t>
        </is>
      </c>
      <c r="G383" t="inlineStr">
        <is>
          <t>BIM-core.MapsToEntity</t>
        </is>
      </c>
      <c r="H383" s="6" t="n"/>
    </row>
    <row r="384">
      <c r="A384" t="inlineStr">
        <is>
          <t>DIMENSION_VALUE</t>
        </is>
      </c>
      <c r="B384" t="inlineStr">
        <is>
          <t>Entity</t>
        </is>
      </c>
      <c r="C384" t="inlineStr">
        <is>
          <t>PD_ObjectID</t>
        </is>
      </c>
      <c r="D384" s="6" t="inlineStr">
        <is>
          <t>32D1D81E-23D4-46C5-9587-945531C6A7DE</t>
        </is>
      </c>
      <c r="E384" s="6" t="inlineStr">
        <is>
          <t>32D1D81E-23D4-46C5-9587-945531C6A7DE</t>
        </is>
      </c>
      <c r="F384" s="12" t="inlineStr">
        <is>
          <t>PASS</t>
        </is>
      </c>
      <c r="H384" s="6" t="n"/>
    </row>
    <row r="385">
      <c r="A385" t="inlineStr">
        <is>
          <t>DIMENSION_VALUE</t>
        </is>
      </c>
      <c r="B385" t="inlineStr">
        <is>
          <t>Entity</t>
        </is>
      </c>
      <c r="C385" t="inlineStr">
        <is>
          <t>PD_SourceExtraction</t>
        </is>
      </c>
      <c r="D385" s="6" t="inlineStr">
        <is>
          <t>46603045</t>
        </is>
      </c>
      <c r="E385" s="6" t="inlineStr">
        <is>
          <t>46603045</t>
        </is>
      </c>
      <c r="F385" s="12" t="inlineStr">
        <is>
          <t>PASS</t>
        </is>
      </c>
      <c r="H385" s="6" t="n"/>
    </row>
    <row r="386">
      <c r="A386" t="inlineStr">
        <is>
          <t>DIMENSION_VALUE</t>
        </is>
      </c>
      <c r="B386" t="inlineStr">
        <is>
          <t>Entity</t>
        </is>
      </c>
      <c r="C386" t="inlineStr">
        <is>
          <t>PD_SourceModel</t>
        </is>
      </c>
      <c r="D386" s="6" t="inlineStr">
        <is>
          <t>05_Carbon_Calculator</t>
        </is>
      </c>
      <c r="E386" s="6" t="inlineStr">
        <is>
          <t>05_Carbon_Calculator</t>
        </is>
      </c>
      <c r="F386" s="12" t="inlineStr">
        <is>
          <t>PASS</t>
        </is>
      </c>
      <c r="H386" s="6" t="n"/>
    </row>
    <row r="387">
      <c r="A387" t="inlineStr">
        <is>
          <t>DIMENSION_VALUE</t>
        </is>
      </c>
      <c r="B387" t="inlineStr">
        <is>
          <t>Entity</t>
        </is>
      </c>
      <c r="C387" t="inlineStr">
        <is>
          <t>SensitivePersonalData</t>
        </is>
      </c>
      <c r="D387" s="6" t="inlineStr">
        <is>
          <t>No Sensitive Personal Data</t>
        </is>
      </c>
      <c r="E387" s="6" t="inlineStr">
        <is>
          <t>No Sensitive Personal Data</t>
        </is>
      </c>
      <c r="F387" s="12" t="inlineStr">
        <is>
          <t>PASS</t>
        </is>
      </c>
      <c r="G387" t="inlineStr">
        <is>
          <t>BIM-core.SensitivePersonalData</t>
        </is>
      </c>
      <c r="H387" s="6" t="n"/>
    </row>
    <row r="388">
      <c r="A388" t="inlineStr">
        <is>
          <t>DISCLAIMER</t>
        </is>
      </c>
      <c r="B388" t="inlineStr">
        <is>
          <t>Entity</t>
        </is>
      </c>
      <c r="C388" t="inlineStr">
        <is>
          <t>CommerciallySensitiveInformation</t>
        </is>
      </c>
      <c r="D388" s="6" t="inlineStr">
        <is>
          <t>No Commercially Sensitive Information</t>
        </is>
      </c>
      <c r="E388" s="6" t="inlineStr">
        <is>
          <t>No Commercially Sensitive Information</t>
        </is>
      </c>
      <c r="F388" s="12" t="inlineStr">
        <is>
          <t>PASS</t>
        </is>
      </c>
      <c r="G388" t="inlineStr">
        <is>
          <t>BIM-core.CommerciallySensitiveInformation</t>
        </is>
      </c>
      <c r="H388" s="6" t="n"/>
    </row>
    <row r="389">
      <c r="A389" t="inlineStr">
        <is>
          <t>DISCLAIMER</t>
        </is>
      </c>
      <c r="B389" t="inlineStr">
        <is>
          <t>Entity</t>
        </is>
      </c>
      <c r="C389" t="inlineStr">
        <is>
          <t>Criticality</t>
        </is>
      </c>
      <c r="D389" s="6" t="inlineStr">
        <is>
          <t>No Critical Data</t>
        </is>
      </c>
      <c r="E389" s="6" t="inlineStr">
        <is>
          <t>No Critical Data</t>
        </is>
      </c>
      <c r="F389" s="12" t="inlineStr">
        <is>
          <t>PASS</t>
        </is>
      </c>
      <c r="G389" t="inlineStr">
        <is>
          <t>BIM-core.Criticality</t>
        </is>
      </c>
      <c r="H389" s="6" t="n"/>
    </row>
    <row r="390">
      <c r="A390" t="inlineStr">
        <is>
          <t>DISCLAIMER</t>
        </is>
      </c>
      <c r="B390" t="inlineStr">
        <is>
          <t>Entity</t>
        </is>
      </c>
      <c r="C390" t="inlineStr">
        <is>
          <t>DataCategory</t>
        </is>
      </c>
      <c r="D390" s="6" t="inlineStr">
        <is>
          <t>Structured</t>
        </is>
      </c>
      <c r="E390" s="6" t="inlineStr">
        <is>
          <t>Structured</t>
        </is>
      </c>
      <c r="F390" s="12" t="inlineStr">
        <is>
          <t>PASS</t>
        </is>
      </c>
      <c r="G390" t="inlineStr">
        <is>
          <t>BIM-core.DataCategory</t>
        </is>
      </c>
      <c r="H390" s="6" t="n"/>
    </row>
    <row r="391">
      <c r="A391" t="inlineStr">
        <is>
          <t>DISCLAIMER</t>
        </is>
      </c>
      <c r="B391" t="inlineStr">
        <is>
          <t>Entity</t>
        </is>
      </c>
      <c r="C391" t="inlineStr">
        <is>
          <t>DataConfidentiality</t>
        </is>
      </c>
      <c r="D391" s="6" t="inlineStr">
        <is>
          <t>Internal</t>
        </is>
      </c>
      <c r="E391" s="6" t="inlineStr">
        <is>
          <t>Internal</t>
        </is>
      </c>
      <c r="F391" s="12" t="inlineStr">
        <is>
          <t>PASS</t>
        </is>
      </c>
      <c r="G391" t="inlineStr">
        <is>
          <t>BIM-core.DataConfidentiality</t>
        </is>
      </c>
      <c r="H391" s="6" t="n"/>
    </row>
    <row r="392">
      <c r="A392" t="inlineStr">
        <is>
          <t>DISCLAIMER</t>
        </is>
      </c>
      <c r="B392" t="inlineStr">
        <is>
          <t>Entity</t>
        </is>
      </c>
      <c r="C392" t="inlineStr">
        <is>
          <t>DesignStatus</t>
        </is>
      </c>
      <c r="D392" s="6" t="inlineStr">
        <is>
          <t>Approved</t>
        </is>
      </c>
      <c r="E392" s="6" t="inlineStr">
        <is>
          <t>Approved</t>
        </is>
      </c>
      <c r="F392" s="12" t="inlineStr">
        <is>
          <t>PASS</t>
        </is>
      </c>
      <c r="G392" t="inlineStr">
        <is>
          <t>BIM-core.DesignStatus</t>
        </is>
      </c>
      <c r="H392" s="6" t="n"/>
    </row>
    <row r="393">
      <c r="A393" t="inlineStr">
        <is>
          <t>DISCLAIMER</t>
        </is>
      </c>
      <c r="B393" t="inlineStr">
        <is>
          <t>Entity</t>
        </is>
      </c>
      <c r="C393" t="inlineStr">
        <is>
          <t>EntityCategory</t>
        </is>
      </c>
      <c r="D393" s="6" t="inlineStr">
        <is>
          <t>Master</t>
        </is>
      </c>
      <c r="E393" s="6" t="inlineStr">
        <is>
          <t>Master</t>
        </is>
      </c>
      <c r="F393" s="12" t="inlineStr">
        <is>
          <t>PASS</t>
        </is>
      </c>
      <c r="G393" t="inlineStr">
        <is>
          <t>BIM-core.EntityCategory</t>
        </is>
      </c>
      <c r="H393" s="6" t="n"/>
    </row>
    <row r="394">
      <c r="A394" t="inlineStr">
        <is>
          <t>DISCLAIMER</t>
        </is>
      </c>
      <c r="B394" t="inlineStr">
        <is>
          <t>Entity</t>
        </is>
      </c>
      <c r="C394" t="inlineStr">
        <is>
          <t>EntityPersonalData</t>
        </is>
      </c>
      <c r="D394" s="6" t="inlineStr">
        <is>
          <t>No Personal Data</t>
        </is>
      </c>
      <c r="E394" s="6" t="inlineStr">
        <is>
          <t>No Personal Data</t>
        </is>
      </c>
      <c r="F394" s="12" t="inlineStr">
        <is>
          <t>PASS</t>
        </is>
      </c>
      <c r="G394" t="inlineStr">
        <is>
          <t>BIM-core.EntityPersonalData</t>
        </is>
      </c>
      <c r="H394" s="6" t="n"/>
    </row>
    <row r="395">
      <c r="A395" t="inlineStr">
        <is>
          <t>DISCLAIMER</t>
        </is>
      </c>
      <c r="B395" t="inlineStr">
        <is>
          <t>Entity</t>
        </is>
      </c>
      <c r="C395" t="inlineStr">
        <is>
          <t>FinancialPersonalData</t>
        </is>
      </c>
      <c r="D395" s="6" t="inlineStr">
        <is>
          <t>No Financial Personal Data</t>
        </is>
      </c>
      <c r="E395" s="6" t="inlineStr">
        <is>
          <t>No Financial Personal Data</t>
        </is>
      </c>
      <c r="F395" s="12" t="inlineStr">
        <is>
          <t>PASS</t>
        </is>
      </c>
      <c r="G395" t="inlineStr">
        <is>
          <t>BIM-core.FinancialPersonalData</t>
        </is>
      </c>
      <c r="H395" s="6" t="n"/>
    </row>
    <row r="396">
      <c r="A396" t="inlineStr">
        <is>
          <t>DISCLAIMER</t>
        </is>
      </c>
      <c r="B396" t="inlineStr">
        <is>
          <t>Entity</t>
        </is>
      </c>
      <c r="C396" t="inlineStr">
        <is>
          <t>MTED_EDaM_Mapping_Note</t>
        </is>
      </c>
      <c r="D396" s="6" t="inlineStr">
        <is>
          <t>{\rtf1\ansi\ansicpg1252\deff0\nouicompat\deflang2057{\fonttbl{\f0\fnil\fcharset0 Times New Roman;}}</t>
        </is>
      </c>
      <c r="E396" s="6" t="inlineStr">
        <is>
          <t>{\rtf1\ansi\ansicpg1252\deff0\nouicompat\deflang2057{\fonttbl{\f0\fnil\fcharset0 Times New Roman;}}</t>
        </is>
      </c>
      <c r="F396" s="12" t="inlineStr">
        <is>
          <t>PASS</t>
        </is>
      </c>
      <c r="G396" t="inlineStr">
        <is>
          <t>BIM-core.MTED_EDaM_Mapping_Note</t>
        </is>
      </c>
      <c r="H396" s="6" t="n"/>
    </row>
    <row r="397">
      <c r="A397" t="inlineStr">
        <is>
          <t>DISCLAIMER</t>
        </is>
      </c>
      <c r="B397" t="inlineStr">
        <is>
          <t>Entity</t>
        </is>
      </c>
      <c r="C397" t="inlineStr">
        <is>
          <t>MappingLevel</t>
        </is>
      </c>
      <c r="D397" s="6" t="inlineStr">
        <is>
          <t>Application Specific</t>
        </is>
      </c>
      <c r="E397" s="6" t="inlineStr">
        <is>
          <t>Application Specific</t>
        </is>
      </c>
      <c r="F397" s="12" t="inlineStr">
        <is>
          <t>PASS</t>
        </is>
      </c>
      <c r="G397" t="inlineStr">
        <is>
          <t>BIM-core.MappingLevel</t>
        </is>
      </c>
      <c r="H397" s="6" t="n"/>
    </row>
    <row r="398">
      <c r="A398" t="inlineStr">
        <is>
          <t>DISCLAIMER</t>
        </is>
      </c>
      <c r="B398" t="inlineStr">
        <is>
          <t>Entity</t>
        </is>
      </c>
      <c r="C398" t="inlineStr">
        <is>
          <t>PD_ObjectID</t>
        </is>
      </c>
      <c r="D398" s="6" t="inlineStr">
        <is>
          <t>1A2A5A62-42CD-4956-AEE4-8F37CE811B49</t>
        </is>
      </c>
      <c r="E398" s="6" t="inlineStr">
        <is>
          <t>1A2A5A62-42CD-4956-AEE4-8F37CE811B49</t>
        </is>
      </c>
      <c r="F398" s="12" t="inlineStr">
        <is>
          <t>PASS</t>
        </is>
      </c>
      <c r="H398" s="6" t="n"/>
    </row>
    <row r="399">
      <c r="A399" t="inlineStr">
        <is>
          <t>DISCLAIMER</t>
        </is>
      </c>
      <c r="B399" t="inlineStr">
        <is>
          <t>Entity</t>
        </is>
      </c>
      <c r="C399" t="inlineStr">
        <is>
          <t>PD_SourceExtraction</t>
        </is>
      </c>
      <c r="D399" s="6" t="inlineStr">
        <is>
          <t>46603045</t>
        </is>
      </c>
      <c r="E399" s="6" t="inlineStr">
        <is>
          <t>46603045</t>
        </is>
      </c>
      <c r="F399" s="12" t="inlineStr">
        <is>
          <t>PASS</t>
        </is>
      </c>
      <c r="H399" s="6" t="n"/>
    </row>
    <row r="400">
      <c r="A400" t="inlineStr">
        <is>
          <t>DISCLAIMER</t>
        </is>
      </c>
      <c r="B400" t="inlineStr">
        <is>
          <t>Entity</t>
        </is>
      </c>
      <c r="C400" t="inlineStr">
        <is>
          <t>PD_SourceModel</t>
        </is>
      </c>
      <c r="D400" s="6" t="inlineStr">
        <is>
          <t>05_Carbon_Calculator</t>
        </is>
      </c>
      <c r="E400" s="6" t="inlineStr">
        <is>
          <t>05_Carbon_Calculator</t>
        </is>
      </c>
      <c r="F400" s="12" t="inlineStr">
        <is>
          <t>PASS</t>
        </is>
      </c>
      <c r="H400" s="6" t="n"/>
    </row>
    <row r="401">
      <c r="A401" t="inlineStr">
        <is>
          <t>DISCLAIMER</t>
        </is>
      </c>
      <c r="B401" t="inlineStr">
        <is>
          <t>Entity</t>
        </is>
      </c>
      <c r="C401" t="inlineStr">
        <is>
          <t>SensitivePersonalData</t>
        </is>
      </c>
      <c r="D401" s="6" t="inlineStr">
        <is>
          <t>No Sensitive Personal Data</t>
        </is>
      </c>
      <c r="E401" s="6" t="inlineStr">
        <is>
          <t>No Sensitive Personal Data</t>
        </is>
      </c>
      <c r="F401" s="12" t="inlineStr">
        <is>
          <t>PASS</t>
        </is>
      </c>
      <c r="G401" t="inlineStr">
        <is>
          <t>BIM-core.SensitivePersonalData</t>
        </is>
      </c>
      <c r="H401" s="6" t="n"/>
    </row>
    <row r="402">
      <c r="A402" t="inlineStr">
        <is>
          <t>EFL_UI_APPROVER</t>
        </is>
      </c>
      <c r="B402" t="inlineStr">
        <is>
          <t>Entity</t>
        </is>
      </c>
      <c r="C402" t="inlineStr">
        <is>
          <t>CommerciallySensitiveInformation</t>
        </is>
      </c>
      <c r="D402" s="6" t="inlineStr">
        <is>
          <t>No Commercially Sensitive Information</t>
        </is>
      </c>
      <c r="E402" s="6" t="inlineStr">
        <is>
          <t>No Commercially Sensitive Information</t>
        </is>
      </c>
      <c r="F402" s="12" t="inlineStr">
        <is>
          <t>PASS</t>
        </is>
      </c>
      <c r="G402" t="inlineStr">
        <is>
          <t>BIM-core.CommerciallySensitiveInformation</t>
        </is>
      </c>
      <c r="H402" s="6" t="n"/>
    </row>
    <row r="403">
      <c r="A403" t="inlineStr">
        <is>
          <t>EFL_UI_APPROVER</t>
        </is>
      </c>
      <c r="B403" t="inlineStr">
        <is>
          <t>Entity</t>
        </is>
      </c>
      <c r="C403" t="inlineStr">
        <is>
          <t>Criticality</t>
        </is>
      </c>
      <c r="D403" s="6" t="inlineStr">
        <is>
          <t>No Critical Data</t>
        </is>
      </c>
      <c r="E403" s="6" t="inlineStr">
        <is>
          <t>No Critical Data</t>
        </is>
      </c>
      <c r="F403" s="12" t="inlineStr">
        <is>
          <t>PASS</t>
        </is>
      </c>
      <c r="G403" t="inlineStr">
        <is>
          <t>BIM-core.Criticality</t>
        </is>
      </c>
      <c r="H403" s="6" t="n"/>
    </row>
    <row r="404">
      <c r="A404" t="inlineStr">
        <is>
          <t>EFL_UI_APPROVER</t>
        </is>
      </c>
      <c r="B404" t="inlineStr">
        <is>
          <t>Entity</t>
        </is>
      </c>
      <c r="C404" t="inlineStr">
        <is>
          <t>DataCategory</t>
        </is>
      </c>
      <c r="D404" s="6" t="inlineStr">
        <is>
          <t>Structured</t>
        </is>
      </c>
      <c r="E404" s="6" t="inlineStr">
        <is>
          <t>Structured</t>
        </is>
      </c>
      <c r="F404" s="12" t="inlineStr">
        <is>
          <t>PASS</t>
        </is>
      </c>
      <c r="G404" t="inlineStr">
        <is>
          <t>BIM-core.DataCategory</t>
        </is>
      </c>
      <c r="H404" s="6" t="n"/>
    </row>
    <row r="405">
      <c r="A405" t="inlineStr">
        <is>
          <t>EFL_UI_APPROVER</t>
        </is>
      </c>
      <c r="B405" t="inlineStr">
        <is>
          <t>Entity</t>
        </is>
      </c>
      <c r="C405" t="inlineStr">
        <is>
          <t>DataConfidentiality</t>
        </is>
      </c>
      <c r="D405" s="6" t="inlineStr">
        <is>
          <t>Internal</t>
        </is>
      </c>
      <c r="E405" s="6" t="inlineStr">
        <is>
          <t>Internal</t>
        </is>
      </c>
      <c r="F405" s="12" t="inlineStr">
        <is>
          <t>PASS</t>
        </is>
      </c>
      <c r="G405" t="inlineStr">
        <is>
          <t>BIM-core.DataConfidentiality</t>
        </is>
      </c>
      <c r="H405" s="6" t="n"/>
    </row>
    <row r="406">
      <c r="A406" t="inlineStr">
        <is>
          <t>EFL_UI_APPROVER</t>
        </is>
      </c>
      <c r="B406" t="inlineStr">
        <is>
          <t>Entity</t>
        </is>
      </c>
      <c r="C406" t="inlineStr">
        <is>
          <t>DesignStatus</t>
        </is>
      </c>
      <c r="D406" s="6" t="inlineStr">
        <is>
          <t>Approved</t>
        </is>
      </c>
      <c r="E406" s="6" t="inlineStr">
        <is>
          <t>Approved</t>
        </is>
      </c>
      <c r="F406" s="12" t="inlineStr">
        <is>
          <t>PASS</t>
        </is>
      </c>
      <c r="G406" t="inlineStr">
        <is>
          <t>BIM-core.DesignStatus</t>
        </is>
      </c>
      <c r="H406" s="6" t="n"/>
    </row>
    <row r="407">
      <c r="A407" t="inlineStr">
        <is>
          <t>EFL_UI_APPROVER</t>
        </is>
      </c>
      <c r="B407" t="inlineStr">
        <is>
          <t>Entity</t>
        </is>
      </c>
      <c r="C407" t="inlineStr">
        <is>
          <t>EntityCategory</t>
        </is>
      </c>
      <c r="D407" s="6" t="inlineStr">
        <is>
          <t>Internal Reference</t>
        </is>
      </c>
      <c r="E407" s="6" t="inlineStr">
        <is>
          <t>Internal Reference</t>
        </is>
      </c>
      <c r="F407" s="12" t="inlineStr">
        <is>
          <t>PASS</t>
        </is>
      </c>
      <c r="G407" t="inlineStr">
        <is>
          <t>BIM-core.EntityCategory</t>
        </is>
      </c>
      <c r="H407" s="6" t="n"/>
    </row>
    <row r="408">
      <c r="A408" t="inlineStr">
        <is>
          <t>EFL_UI_APPROVER</t>
        </is>
      </c>
      <c r="B408" t="inlineStr">
        <is>
          <t>Entity</t>
        </is>
      </c>
      <c r="C408" t="inlineStr">
        <is>
          <t>EntityPersonalData</t>
        </is>
      </c>
      <c r="D408" s="6" t="inlineStr">
        <is>
          <t>No Personal Data</t>
        </is>
      </c>
      <c r="E408" s="6" t="inlineStr">
        <is>
          <t>No Personal Data</t>
        </is>
      </c>
      <c r="F408" s="12" t="inlineStr">
        <is>
          <t>PASS</t>
        </is>
      </c>
      <c r="G408" t="inlineStr">
        <is>
          <t>BIM-core.EntityPersonalData</t>
        </is>
      </c>
      <c r="H408" s="6" t="n"/>
    </row>
    <row r="409">
      <c r="A409" t="inlineStr">
        <is>
          <t>EFL_UI_APPROVER</t>
        </is>
      </c>
      <c r="B409" t="inlineStr">
        <is>
          <t>Entity</t>
        </is>
      </c>
      <c r="C409" t="inlineStr">
        <is>
          <t>FinancialPersonalData</t>
        </is>
      </c>
      <c r="D409" s="6" t="inlineStr">
        <is>
          <t>No Financial Personal Data</t>
        </is>
      </c>
      <c r="E409" s="6" t="inlineStr">
        <is>
          <t>No Financial Personal Data</t>
        </is>
      </c>
      <c r="F409" s="12" t="inlineStr">
        <is>
          <t>PASS</t>
        </is>
      </c>
      <c r="G409" t="inlineStr">
        <is>
          <t>BIM-core.FinancialPersonalData</t>
        </is>
      </c>
      <c r="H409" s="6" t="n"/>
    </row>
    <row r="410">
      <c r="A410" t="inlineStr">
        <is>
          <t>EFL_UI_APPROVER</t>
        </is>
      </c>
      <c r="B410" t="inlineStr">
        <is>
          <t>Entity</t>
        </is>
      </c>
      <c r="C410" t="inlineStr">
        <is>
          <t>MTED_EDaM_Mapping_Note</t>
        </is>
      </c>
      <c r="D410" s="6" t="inlineStr">
        <is>
          <t>{\rtf1\ansi\ansicpg1252\deff0\nouicompat\deflang2057{\fonttbl{\f0\fnil\fcharset0 Times New Roman;}}</t>
        </is>
      </c>
      <c r="E410" s="6" t="inlineStr">
        <is>
          <t>{\rtf1\ansi\ansicpg1252\deff0\nouicompat\deflang2057{\fonttbl{\f0\fnil\fcharset0 Times New Roman;}}</t>
        </is>
      </c>
      <c r="F410" s="12" t="inlineStr">
        <is>
          <t>PASS</t>
        </is>
      </c>
      <c r="G410" t="inlineStr">
        <is>
          <t>BIM-core.MTED_EDaM_Mapping_Note</t>
        </is>
      </c>
      <c r="H410" s="6" t="n"/>
    </row>
    <row r="411">
      <c r="A411" t="inlineStr">
        <is>
          <t>EFL_UI_APPROVER</t>
        </is>
      </c>
      <c r="B411" t="inlineStr">
        <is>
          <t>Entity</t>
        </is>
      </c>
      <c r="C411" t="inlineStr">
        <is>
          <t>MappingLevel</t>
        </is>
      </c>
      <c r="D411" s="6" t="inlineStr">
        <is>
          <t>Application Specific</t>
        </is>
      </c>
      <c r="E411" s="6" t="inlineStr">
        <is>
          <t>Application Specific</t>
        </is>
      </c>
      <c r="F411" s="12" t="inlineStr">
        <is>
          <t>PASS</t>
        </is>
      </c>
      <c r="G411" t="inlineStr">
        <is>
          <t>BIM-core.MappingLevel</t>
        </is>
      </c>
      <c r="H411" s="6" t="n"/>
    </row>
    <row r="412">
      <c r="A412" t="inlineStr">
        <is>
          <t>EFL_UI_APPROVER</t>
        </is>
      </c>
      <c r="B412" t="inlineStr">
        <is>
          <t>Entity</t>
        </is>
      </c>
      <c r="C412" t="inlineStr">
        <is>
          <t>PD_ObjectID</t>
        </is>
      </c>
      <c r="D412" s="6" t="inlineStr">
        <is>
          <t>28C44B1D-D978-4B87-91A2-9FD1755A6904</t>
        </is>
      </c>
      <c r="E412" s="6" t="inlineStr">
        <is>
          <t>28C44B1D-D978-4B87-91A2-9FD1755A6904</t>
        </is>
      </c>
      <c r="F412" s="12" t="inlineStr">
        <is>
          <t>PASS</t>
        </is>
      </c>
      <c r="H412" s="6" t="n"/>
    </row>
    <row r="413">
      <c r="A413" t="inlineStr">
        <is>
          <t>EFL_UI_APPROVER</t>
        </is>
      </c>
      <c r="B413" t="inlineStr">
        <is>
          <t>Entity</t>
        </is>
      </c>
      <c r="C413" t="inlineStr">
        <is>
          <t>PD_SourceExtraction</t>
        </is>
      </c>
      <c r="D413" s="6" t="inlineStr">
        <is>
          <t>46603045</t>
        </is>
      </c>
      <c r="E413" s="6" t="inlineStr">
        <is>
          <t>46603045</t>
        </is>
      </c>
      <c r="F413" s="12" t="inlineStr">
        <is>
          <t>PASS</t>
        </is>
      </c>
      <c r="H413" s="6" t="n"/>
    </row>
    <row r="414">
      <c r="A414" t="inlineStr">
        <is>
          <t>EFL_UI_APPROVER</t>
        </is>
      </c>
      <c r="B414" t="inlineStr">
        <is>
          <t>Entity</t>
        </is>
      </c>
      <c r="C414" t="inlineStr">
        <is>
          <t>PD_SourceModel</t>
        </is>
      </c>
      <c r="D414" s="6" t="inlineStr">
        <is>
          <t>05_Carbon_Calculator</t>
        </is>
      </c>
      <c r="E414" s="6" t="inlineStr">
        <is>
          <t>05_Carbon_Calculator</t>
        </is>
      </c>
      <c r="F414" s="12" t="inlineStr">
        <is>
          <t>PASS</t>
        </is>
      </c>
      <c r="H414" s="6" t="n"/>
    </row>
    <row r="415">
      <c r="A415" t="inlineStr">
        <is>
          <t>EFL_UI_APPROVER</t>
        </is>
      </c>
      <c r="B415" t="inlineStr">
        <is>
          <t>Entity</t>
        </is>
      </c>
      <c r="C415" t="inlineStr">
        <is>
          <t>SensitivePersonalData</t>
        </is>
      </c>
      <c r="D415" s="6" t="inlineStr">
        <is>
          <t>No Sensitive Personal Data</t>
        </is>
      </c>
      <c r="E415" s="6" t="inlineStr">
        <is>
          <t>No Sensitive Personal Data</t>
        </is>
      </c>
      <c r="F415" s="12" t="inlineStr">
        <is>
          <t>PASS</t>
        </is>
      </c>
      <c r="G415" t="inlineStr">
        <is>
          <t>BIM-core.SensitivePersonalData</t>
        </is>
      </c>
      <c r="H415" s="6" t="n"/>
    </row>
    <row r="416">
      <c r="A416" t="inlineStr">
        <is>
          <t>EFL_UI_APPROVER_GROUP</t>
        </is>
      </c>
      <c r="B416" t="inlineStr">
        <is>
          <t>Entity</t>
        </is>
      </c>
      <c r="C416" t="inlineStr">
        <is>
          <t>CommerciallySensitiveInformation</t>
        </is>
      </c>
      <c r="D416" s="6" t="inlineStr">
        <is>
          <t>No Commercially Sensitive Information</t>
        </is>
      </c>
      <c r="E416" s="6" t="inlineStr">
        <is>
          <t>No Commercially Sensitive Information</t>
        </is>
      </c>
      <c r="F416" s="12" t="inlineStr">
        <is>
          <t>PASS</t>
        </is>
      </c>
      <c r="G416" t="inlineStr">
        <is>
          <t>BIM-core.CommerciallySensitiveInformation</t>
        </is>
      </c>
      <c r="H416" s="6" t="n"/>
    </row>
    <row r="417">
      <c r="A417" t="inlineStr">
        <is>
          <t>EFL_UI_APPROVER_GROUP</t>
        </is>
      </c>
      <c r="B417" t="inlineStr">
        <is>
          <t>Entity</t>
        </is>
      </c>
      <c r="C417" t="inlineStr">
        <is>
          <t>Criticality</t>
        </is>
      </c>
      <c r="D417" s="6" t="inlineStr">
        <is>
          <t>No Critical Data</t>
        </is>
      </c>
      <c r="E417" s="6" t="inlineStr">
        <is>
          <t>No Critical Data</t>
        </is>
      </c>
      <c r="F417" s="12" t="inlineStr">
        <is>
          <t>PASS</t>
        </is>
      </c>
      <c r="G417" t="inlineStr">
        <is>
          <t>BIM-core.Criticality</t>
        </is>
      </c>
      <c r="H417" s="6" t="n"/>
    </row>
    <row r="418">
      <c r="A418" t="inlineStr">
        <is>
          <t>EFL_UI_APPROVER_GROUP</t>
        </is>
      </c>
      <c r="B418" t="inlineStr">
        <is>
          <t>Entity</t>
        </is>
      </c>
      <c r="C418" t="inlineStr">
        <is>
          <t>DataCategory</t>
        </is>
      </c>
      <c r="D418" s="6" t="inlineStr">
        <is>
          <t>Structured</t>
        </is>
      </c>
      <c r="E418" s="6" t="inlineStr">
        <is>
          <t>Structured</t>
        </is>
      </c>
      <c r="F418" s="12" t="inlineStr">
        <is>
          <t>PASS</t>
        </is>
      </c>
      <c r="G418" t="inlineStr">
        <is>
          <t>BIM-core.DataCategory</t>
        </is>
      </c>
      <c r="H418" s="6" t="n"/>
    </row>
    <row r="419">
      <c r="A419" t="inlineStr">
        <is>
          <t>EFL_UI_APPROVER_GROUP</t>
        </is>
      </c>
      <c r="B419" t="inlineStr">
        <is>
          <t>Entity</t>
        </is>
      </c>
      <c r="C419" t="inlineStr">
        <is>
          <t>DataConfidentiality</t>
        </is>
      </c>
      <c r="D419" s="6" t="inlineStr">
        <is>
          <t>Internal</t>
        </is>
      </c>
      <c r="E419" s="6" t="inlineStr">
        <is>
          <t>Internal</t>
        </is>
      </c>
      <c r="F419" s="12" t="inlineStr">
        <is>
          <t>PASS</t>
        </is>
      </c>
      <c r="G419" t="inlineStr">
        <is>
          <t>BIM-core.DataConfidentiality</t>
        </is>
      </c>
      <c r="H419" s="6" t="n"/>
    </row>
    <row r="420">
      <c r="A420" t="inlineStr">
        <is>
          <t>EFL_UI_APPROVER_GROUP</t>
        </is>
      </c>
      <c r="B420" t="inlineStr">
        <is>
          <t>Entity</t>
        </is>
      </c>
      <c r="C420" t="inlineStr">
        <is>
          <t>DesignStatus</t>
        </is>
      </c>
      <c r="D420" s="6" t="inlineStr">
        <is>
          <t>Approved</t>
        </is>
      </c>
      <c r="E420" s="6" t="inlineStr">
        <is>
          <t>Approved</t>
        </is>
      </c>
      <c r="F420" s="12" t="inlineStr">
        <is>
          <t>PASS</t>
        </is>
      </c>
      <c r="G420" t="inlineStr">
        <is>
          <t>BIM-core.DesignStatus</t>
        </is>
      </c>
      <c r="H420" s="6" t="n"/>
    </row>
    <row r="421">
      <c r="A421" t="inlineStr">
        <is>
          <t>EFL_UI_APPROVER_GROUP</t>
        </is>
      </c>
      <c r="B421" t="inlineStr">
        <is>
          <t>Entity</t>
        </is>
      </c>
      <c r="C421" t="inlineStr">
        <is>
          <t>EntityCategory</t>
        </is>
      </c>
      <c r="D421" s="6" t="inlineStr">
        <is>
          <t>Internal Reference</t>
        </is>
      </c>
      <c r="E421" s="6" t="inlineStr">
        <is>
          <t>Internal Reference</t>
        </is>
      </c>
      <c r="F421" s="12" t="inlineStr">
        <is>
          <t>PASS</t>
        </is>
      </c>
      <c r="G421" t="inlineStr">
        <is>
          <t>BIM-core.EntityCategory</t>
        </is>
      </c>
      <c r="H421" s="6" t="n"/>
    </row>
    <row r="422">
      <c r="A422" t="inlineStr">
        <is>
          <t>EFL_UI_APPROVER_GROUP</t>
        </is>
      </c>
      <c r="B422" t="inlineStr">
        <is>
          <t>Entity</t>
        </is>
      </c>
      <c r="C422" t="inlineStr">
        <is>
          <t>EntityPersonalData</t>
        </is>
      </c>
      <c r="D422" s="6" t="inlineStr">
        <is>
          <t>No Personal Data</t>
        </is>
      </c>
      <c r="E422" s="6" t="inlineStr">
        <is>
          <t>No Personal Data</t>
        </is>
      </c>
      <c r="F422" s="12" t="inlineStr">
        <is>
          <t>PASS</t>
        </is>
      </c>
      <c r="G422" t="inlineStr">
        <is>
          <t>BIM-core.EntityPersonalData</t>
        </is>
      </c>
      <c r="H422" s="6" t="n"/>
    </row>
    <row r="423">
      <c r="A423" t="inlineStr">
        <is>
          <t>EFL_UI_APPROVER_GROUP</t>
        </is>
      </c>
      <c r="B423" t="inlineStr">
        <is>
          <t>Entity</t>
        </is>
      </c>
      <c r="C423" t="inlineStr">
        <is>
          <t>FinancialPersonalData</t>
        </is>
      </c>
      <c r="D423" s="6" t="inlineStr">
        <is>
          <t>No Financial Personal Data</t>
        </is>
      </c>
      <c r="E423" s="6" t="inlineStr">
        <is>
          <t>No Financial Personal Data</t>
        </is>
      </c>
      <c r="F423" s="12" t="inlineStr">
        <is>
          <t>PASS</t>
        </is>
      </c>
      <c r="G423" t="inlineStr">
        <is>
          <t>BIM-core.FinancialPersonalData</t>
        </is>
      </c>
      <c r="H423" s="6" t="n"/>
    </row>
    <row r="424">
      <c r="A424" t="inlineStr">
        <is>
          <t>EFL_UI_APPROVER_GROUP</t>
        </is>
      </c>
      <c r="B424" t="inlineStr">
        <is>
          <t>Entity</t>
        </is>
      </c>
      <c r="C424" t="inlineStr">
        <is>
          <t>MTED_EDaM_Mapping_Note</t>
        </is>
      </c>
      <c r="D424" s="6" t="inlineStr">
        <is>
          <t>{\rtf1\ansi\ansicpg1252\deff0\nouicompat\deflang2057{\fonttbl{\f0\fnil\fcharset0 Times New Roman;}}</t>
        </is>
      </c>
      <c r="E424" s="6" t="inlineStr">
        <is>
          <t>{\rtf1\ansi\ansicpg1252\deff0\nouicompat\deflang2057{\fonttbl{\f0\fnil\fcharset0 Times New Roman;}}</t>
        </is>
      </c>
      <c r="F424" s="12" t="inlineStr">
        <is>
          <t>PASS</t>
        </is>
      </c>
      <c r="G424" t="inlineStr">
        <is>
          <t>BIM-core.MTED_EDaM_Mapping_Note</t>
        </is>
      </c>
      <c r="H424" s="6" t="n"/>
    </row>
    <row r="425">
      <c r="A425" t="inlineStr">
        <is>
          <t>EFL_UI_APPROVER_GROUP</t>
        </is>
      </c>
      <c r="B425" t="inlineStr">
        <is>
          <t>Entity</t>
        </is>
      </c>
      <c r="C425" t="inlineStr">
        <is>
          <t>MappingLevel</t>
        </is>
      </c>
      <c r="D425" s="6" t="inlineStr">
        <is>
          <t>Application Specific</t>
        </is>
      </c>
      <c r="E425" s="6" t="inlineStr">
        <is>
          <t>Application Specific</t>
        </is>
      </c>
      <c r="F425" s="12" t="inlineStr">
        <is>
          <t>PASS</t>
        </is>
      </c>
      <c r="G425" t="inlineStr">
        <is>
          <t>BIM-core.MappingLevel</t>
        </is>
      </c>
      <c r="H425" s="6" t="n"/>
    </row>
    <row r="426">
      <c r="A426" t="inlineStr">
        <is>
          <t>EFL_UI_APPROVER_GROUP</t>
        </is>
      </c>
      <c r="B426" t="inlineStr">
        <is>
          <t>Entity</t>
        </is>
      </c>
      <c r="C426" t="inlineStr">
        <is>
          <t>PD_ObjectID</t>
        </is>
      </c>
      <c r="D426" s="6" t="inlineStr">
        <is>
          <t>BD0AE091-3F5E-4309-8A61-C39A1A04A015</t>
        </is>
      </c>
      <c r="E426" s="6" t="inlineStr">
        <is>
          <t>BD0AE091-3F5E-4309-8A61-C39A1A04A015</t>
        </is>
      </c>
      <c r="F426" s="12" t="inlineStr">
        <is>
          <t>PASS</t>
        </is>
      </c>
      <c r="H426" s="6" t="n"/>
    </row>
    <row r="427">
      <c r="A427" t="inlineStr">
        <is>
          <t>EFL_UI_APPROVER_GROUP</t>
        </is>
      </c>
      <c r="B427" t="inlineStr">
        <is>
          <t>Entity</t>
        </is>
      </c>
      <c r="C427" t="inlineStr">
        <is>
          <t>PD_SourceExtraction</t>
        </is>
      </c>
      <c r="D427" s="6" t="inlineStr">
        <is>
          <t>46603045</t>
        </is>
      </c>
      <c r="E427" s="6" t="inlineStr">
        <is>
          <t>46603045</t>
        </is>
      </c>
      <c r="F427" s="12" t="inlineStr">
        <is>
          <t>PASS</t>
        </is>
      </c>
      <c r="H427" s="6" t="n"/>
    </row>
    <row r="428">
      <c r="A428" t="inlineStr">
        <is>
          <t>EFL_UI_APPROVER_GROUP</t>
        </is>
      </c>
      <c r="B428" t="inlineStr">
        <is>
          <t>Entity</t>
        </is>
      </c>
      <c r="C428" t="inlineStr">
        <is>
          <t>PD_SourceModel</t>
        </is>
      </c>
      <c r="D428" s="6" t="inlineStr">
        <is>
          <t>05_Carbon_Calculator</t>
        </is>
      </c>
      <c r="E428" s="6" t="inlineStr">
        <is>
          <t>05_Carbon_Calculator</t>
        </is>
      </c>
      <c r="F428" s="12" t="inlineStr">
        <is>
          <t>PASS</t>
        </is>
      </c>
      <c r="H428" s="6" t="n"/>
    </row>
    <row r="429">
      <c r="A429" t="inlineStr">
        <is>
          <t>EFL_UI_APPROVER_GROUP</t>
        </is>
      </c>
      <c r="B429" t="inlineStr">
        <is>
          <t>Entity</t>
        </is>
      </c>
      <c r="C429" t="inlineStr">
        <is>
          <t>SensitivePersonalData</t>
        </is>
      </c>
      <c r="D429" s="6" t="inlineStr">
        <is>
          <t>No Sensitive Personal Data</t>
        </is>
      </c>
      <c r="E429" s="6" t="inlineStr">
        <is>
          <t>No Sensitive Personal Data</t>
        </is>
      </c>
      <c r="F429" s="12" t="inlineStr">
        <is>
          <t>PASS</t>
        </is>
      </c>
      <c r="G429" t="inlineStr">
        <is>
          <t>BIM-core.SensitivePersonalData</t>
        </is>
      </c>
      <c r="H429" s="6" t="n"/>
    </row>
    <row r="430">
      <c r="A430" t="inlineStr">
        <is>
          <t>EFL_UI_REQUEST</t>
        </is>
      </c>
      <c r="B430" t="inlineStr">
        <is>
          <t>Entity</t>
        </is>
      </c>
      <c r="C430" t="inlineStr">
        <is>
          <t>CommerciallySensitiveInformation</t>
        </is>
      </c>
      <c r="D430" s="6" t="inlineStr">
        <is>
          <t>No Commercially Sensitive Information</t>
        </is>
      </c>
      <c r="E430" s="6" t="inlineStr">
        <is>
          <t>No Commercially Sensitive Information</t>
        </is>
      </c>
      <c r="F430" s="12" t="inlineStr">
        <is>
          <t>PASS</t>
        </is>
      </c>
      <c r="G430" t="inlineStr">
        <is>
          <t>BIM-core.CommerciallySensitiveInformation</t>
        </is>
      </c>
      <c r="H430" s="6" t="n"/>
    </row>
    <row r="431">
      <c r="A431" t="inlineStr">
        <is>
          <t>EFL_UI_REQUEST</t>
        </is>
      </c>
      <c r="B431" t="inlineStr">
        <is>
          <t>Entity</t>
        </is>
      </c>
      <c r="C431" t="inlineStr">
        <is>
          <t>Criticality</t>
        </is>
      </c>
      <c r="D431" s="6" t="inlineStr">
        <is>
          <t>No Critical Data</t>
        </is>
      </c>
      <c r="E431" s="6" t="inlineStr">
        <is>
          <t>No Critical Data</t>
        </is>
      </c>
      <c r="F431" s="12" t="inlineStr">
        <is>
          <t>PASS</t>
        </is>
      </c>
      <c r="G431" t="inlineStr">
        <is>
          <t>BIM-core.Criticality</t>
        </is>
      </c>
      <c r="H431" s="6" t="n"/>
    </row>
    <row r="432">
      <c r="A432" t="inlineStr">
        <is>
          <t>EFL_UI_REQUEST</t>
        </is>
      </c>
      <c r="B432" t="inlineStr">
        <is>
          <t>Entity</t>
        </is>
      </c>
      <c r="C432" t="inlineStr">
        <is>
          <t>DataCategory</t>
        </is>
      </c>
      <c r="D432" s="6" t="inlineStr">
        <is>
          <t>Structured</t>
        </is>
      </c>
      <c r="E432" s="6" t="inlineStr">
        <is>
          <t>Structured</t>
        </is>
      </c>
      <c r="F432" s="12" t="inlineStr">
        <is>
          <t>PASS</t>
        </is>
      </c>
      <c r="G432" t="inlineStr">
        <is>
          <t>BIM-core.DataCategory</t>
        </is>
      </c>
      <c r="H432" s="6" t="n"/>
    </row>
    <row r="433">
      <c r="A433" t="inlineStr">
        <is>
          <t>EFL_UI_REQUEST</t>
        </is>
      </c>
      <c r="B433" t="inlineStr">
        <is>
          <t>Entity</t>
        </is>
      </c>
      <c r="C433" t="inlineStr">
        <is>
          <t>DataConfidentiality</t>
        </is>
      </c>
      <c r="D433" s="6" t="inlineStr">
        <is>
          <t>Internal</t>
        </is>
      </c>
      <c r="E433" s="6" t="inlineStr">
        <is>
          <t>Internal</t>
        </is>
      </c>
      <c r="F433" s="12" t="inlineStr">
        <is>
          <t>PASS</t>
        </is>
      </c>
      <c r="G433" t="inlineStr">
        <is>
          <t>BIM-core.DataConfidentiality</t>
        </is>
      </c>
      <c r="H433" s="6" t="n"/>
    </row>
    <row r="434">
      <c r="A434" t="inlineStr">
        <is>
          <t>EFL_UI_REQUEST</t>
        </is>
      </c>
      <c r="B434" t="inlineStr">
        <is>
          <t>Entity</t>
        </is>
      </c>
      <c r="C434" t="inlineStr">
        <is>
          <t>DesignStatus</t>
        </is>
      </c>
      <c r="D434" s="6" t="inlineStr">
        <is>
          <t>Approved</t>
        </is>
      </c>
      <c r="E434" s="6" t="inlineStr">
        <is>
          <t>Approved</t>
        </is>
      </c>
      <c r="F434" s="12" t="inlineStr">
        <is>
          <t>PASS</t>
        </is>
      </c>
      <c r="G434" t="inlineStr">
        <is>
          <t>BIM-core.DesignStatus</t>
        </is>
      </c>
      <c r="H434" s="6" t="n"/>
    </row>
    <row r="435">
      <c r="A435" t="inlineStr">
        <is>
          <t>EFL_UI_REQUEST</t>
        </is>
      </c>
      <c r="B435" t="inlineStr">
        <is>
          <t>Entity</t>
        </is>
      </c>
      <c r="C435" t="inlineStr">
        <is>
          <t>EntityCategory</t>
        </is>
      </c>
      <c r="D435" s="6" t="inlineStr">
        <is>
          <t>Transaction</t>
        </is>
      </c>
      <c r="E435" s="6" t="inlineStr">
        <is>
          <t>Transaction</t>
        </is>
      </c>
      <c r="F435" s="12" t="inlineStr">
        <is>
          <t>PASS</t>
        </is>
      </c>
      <c r="G435" t="inlineStr">
        <is>
          <t>BIM-core.EntityCategory</t>
        </is>
      </c>
      <c r="H435" s="6" t="n"/>
    </row>
    <row r="436">
      <c r="A436" t="inlineStr">
        <is>
          <t>EFL_UI_REQUEST</t>
        </is>
      </c>
      <c r="B436" t="inlineStr">
        <is>
          <t>Entity</t>
        </is>
      </c>
      <c r="C436" t="inlineStr">
        <is>
          <t>EntityPersonalData</t>
        </is>
      </c>
      <c r="D436" s="6" t="inlineStr">
        <is>
          <t>No Personal Data</t>
        </is>
      </c>
      <c r="E436" s="6" t="inlineStr">
        <is>
          <t>No Personal Data</t>
        </is>
      </c>
      <c r="F436" s="12" t="inlineStr">
        <is>
          <t>PASS</t>
        </is>
      </c>
      <c r="G436" t="inlineStr">
        <is>
          <t>BIM-core.EntityPersonalData</t>
        </is>
      </c>
      <c r="H436" s="6" t="n"/>
    </row>
    <row r="437">
      <c r="A437" t="inlineStr">
        <is>
          <t>EFL_UI_REQUEST</t>
        </is>
      </c>
      <c r="B437" t="inlineStr">
        <is>
          <t>Entity</t>
        </is>
      </c>
      <c r="C437" t="inlineStr">
        <is>
          <t>FinancialPersonalData</t>
        </is>
      </c>
      <c r="D437" s="6" t="inlineStr">
        <is>
          <t>No Financial Personal Data</t>
        </is>
      </c>
      <c r="E437" s="6" t="inlineStr">
        <is>
          <t>No Financial Personal Data</t>
        </is>
      </c>
      <c r="F437" s="12" t="inlineStr">
        <is>
          <t>PASS</t>
        </is>
      </c>
      <c r="G437" t="inlineStr">
        <is>
          <t>BIM-core.FinancialPersonalData</t>
        </is>
      </c>
      <c r="H437" s="6" t="n"/>
    </row>
    <row r="438">
      <c r="A438" t="inlineStr">
        <is>
          <t>EFL_UI_REQUEST</t>
        </is>
      </c>
      <c r="B438" t="inlineStr">
        <is>
          <t>Entity</t>
        </is>
      </c>
      <c r="C438" t="inlineStr">
        <is>
          <t>MTED_EDaM_Mapping_Note</t>
        </is>
      </c>
      <c r="D438" s="6" t="inlineStr">
        <is>
          <t>{\rtf1\ansi\ansicpg1252\deff0\nouicompat\deflang2057{\fonttbl{\f0\fnil\fcharset0 Times New Roman;}}</t>
        </is>
      </c>
      <c r="E438" s="6" t="inlineStr">
        <is>
          <t>{\rtf1\ansi\ansicpg1252\deff0\nouicompat\deflang2057{\fonttbl{\f0\fnil\fcharset0 Times New Roman;}}</t>
        </is>
      </c>
      <c r="F438" s="12" t="inlineStr">
        <is>
          <t>PASS</t>
        </is>
      </c>
      <c r="G438" t="inlineStr">
        <is>
          <t>BIM-core.MTED_EDaM_Mapping_Note</t>
        </is>
      </c>
      <c r="H438" s="6" t="n"/>
    </row>
    <row r="439">
      <c r="A439" t="inlineStr">
        <is>
          <t>EFL_UI_REQUEST</t>
        </is>
      </c>
      <c r="B439" t="inlineStr">
        <is>
          <t>Entity</t>
        </is>
      </c>
      <c r="C439" t="inlineStr">
        <is>
          <t>MappingLevel</t>
        </is>
      </c>
      <c r="D439" s="6" t="inlineStr">
        <is>
          <t>Application Specific</t>
        </is>
      </c>
      <c r="E439" s="6" t="inlineStr">
        <is>
          <t>Application Specific</t>
        </is>
      </c>
      <c r="F439" s="12" t="inlineStr">
        <is>
          <t>PASS</t>
        </is>
      </c>
      <c r="G439" t="inlineStr">
        <is>
          <t>BIM-core.MappingLevel</t>
        </is>
      </c>
      <c r="H439" s="6" t="n"/>
    </row>
    <row r="440">
      <c r="A440" t="inlineStr">
        <is>
          <t>EFL_UI_REQUEST</t>
        </is>
      </c>
      <c r="B440" t="inlineStr">
        <is>
          <t>Entity</t>
        </is>
      </c>
      <c r="C440" t="inlineStr">
        <is>
          <t>PD_ObjectID</t>
        </is>
      </c>
      <c r="D440" s="6" t="inlineStr">
        <is>
          <t>843CF939-8808-4EC2-B730-6A72DB30DB98</t>
        </is>
      </c>
      <c r="E440" s="6" t="inlineStr">
        <is>
          <t>843CF939-8808-4EC2-B730-6A72DB30DB98</t>
        </is>
      </c>
      <c r="F440" s="12" t="inlineStr">
        <is>
          <t>PASS</t>
        </is>
      </c>
      <c r="H440" s="6" t="n"/>
    </row>
    <row r="441">
      <c r="A441" t="inlineStr">
        <is>
          <t>EFL_UI_REQUEST</t>
        </is>
      </c>
      <c r="B441" t="inlineStr">
        <is>
          <t>Entity</t>
        </is>
      </c>
      <c r="C441" t="inlineStr">
        <is>
          <t>PD_SourceExtraction</t>
        </is>
      </c>
      <c r="D441" s="6" t="inlineStr">
        <is>
          <t>46603045</t>
        </is>
      </c>
      <c r="E441" s="6" t="inlineStr">
        <is>
          <t>46603045</t>
        </is>
      </c>
      <c r="F441" s="12" t="inlineStr">
        <is>
          <t>PASS</t>
        </is>
      </c>
      <c r="H441" s="6" t="n"/>
    </row>
    <row r="442">
      <c r="A442" t="inlineStr">
        <is>
          <t>EFL_UI_REQUEST</t>
        </is>
      </c>
      <c r="B442" t="inlineStr">
        <is>
          <t>Entity</t>
        </is>
      </c>
      <c r="C442" t="inlineStr">
        <is>
          <t>PD_SourceModel</t>
        </is>
      </c>
      <c r="D442" s="6" t="inlineStr">
        <is>
          <t>05_Carbon_Calculator</t>
        </is>
      </c>
      <c r="E442" s="6" t="inlineStr">
        <is>
          <t>05_Carbon_Calculator</t>
        </is>
      </c>
      <c r="F442" s="12" t="inlineStr">
        <is>
          <t>PASS</t>
        </is>
      </c>
      <c r="H442" s="6" t="n"/>
    </row>
    <row r="443">
      <c r="A443" t="inlineStr">
        <is>
          <t>EFL_UI_REQUEST</t>
        </is>
      </c>
      <c r="B443" t="inlineStr">
        <is>
          <t>Entity</t>
        </is>
      </c>
      <c r="C443" t="inlineStr">
        <is>
          <t>SensitivePersonalData</t>
        </is>
      </c>
      <c r="D443" s="6" t="inlineStr">
        <is>
          <t>No Sensitive Personal Data</t>
        </is>
      </c>
      <c r="E443" s="6" t="inlineStr">
        <is>
          <t>No Sensitive Personal Data</t>
        </is>
      </c>
      <c r="F443" s="12" t="inlineStr">
        <is>
          <t>PASS</t>
        </is>
      </c>
      <c r="G443" t="inlineStr">
        <is>
          <t>BIM-core.SensitivePersonalData</t>
        </is>
      </c>
      <c r="H443" s="6" t="n"/>
    </row>
    <row r="444">
      <c r="A444" t="inlineStr">
        <is>
          <t>EFL_UI_SECTION</t>
        </is>
      </c>
      <c r="B444" t="inlineStr">
        <is>
          <t>Entity</t>
        </is>
      </c>
      <c r="C444" t="inlineStr">
        <is>
          <t>CommerciallySensitiveInformation</t>
        </is>
      </c>
      <c r="D444" s="6" t="inlineStr">
        <is>
          <t>No Commercially Sensitive Information</t>
        </is>
      </c>
      <c r="E444" s="6" t="inlineStr">
        <is>
          <t>No Commercially Sensitive Information</t>
        </is>
      </c>
      <c r="F444" s="12" t="inlineStr">
        <is>
          <t>PASS</t>
        </is>
      </c>
      <c r="G444" t="inlineStr">
        <is>
          <t>BIM-core.CommerciallySensitiveInformation</t>
        </is>
      </c>
      <c r="H444" s="6" t="n"/>
    </row>
    <row r="445">
      <c r="A445" t="inlineStr">
        <is>
          <t>EFL_UI_SECTION</t>
        </is>
      </c>
      <c r="B445" t="inlineStr">
        <is>
          <t>Entity</t>
        </is>
      </c>
      <c r="C445" t="inlineStr">
        <is>
          <t>Criticality</t>
        </is>
      </c>
      <c r="D445" s="6" t="inlineStr">
        <is>
          <t>No Critical Data</t>
        </is>
      </c>
      <c r="E445" s="6" t="inlineStr">
        <is>
          <t>No Critical Data</t>
        </is>
      </c>
      <c r="F445" s="12" t="inlineStr">
        <is>
          <t>PASS</t>
        </is>
      </c>
      <c r="G445" t="inlineStr">
        <is>
          <t>BIM-core.Criticality</t>
        </is>
      </c>
      <c r="H445" s="6" t="n"/>
    </row>
    <row r="446">
      <c r="A446" t="inlineStr">
        <is>
          <t>EFL_UI_SECTION</t>
        </is>
      </c>
      <c r="B446" t="inlineStr">
        <is>
          <t>Entity</t>
        </is>
      </c>
      <c r="C446" t="inlineStr">
        <is>
          <t>DataCategory</t>
        </is>
      </c>
      <c r="D446" s="6" t="inlineStr">
        <is>
          <t>Structured</t>
        </is>
      </c>
      <c r="E446" s="6" t="inlineStr">
        <is>
          <t>Structured</t>
        </is>
      </c>
      <c r="F446" s="12" t="inlineStr">
        <is>
          <t>PASS</t>
        </is>
      </c>
      <c r="G446" t="inlineStr">
        <is>
          <t>BIM-core.DataCategory</t>
        </is>
      </c>
      <c r="H446" s="6" t="n"/>
    </row>
    <row r="447">
      <c r="A447" t="inlineStr">
        <is>
          <t>EFL_UI_SECTION</t>
        </is>
      </c>
      <c r="B447" t="inlineStr">
        <is>
          <t>Entity</t>
        </is>
      </c>
      <c r="C447" t="inlineStr">
        <is>
          <t>DataConfidentiality</t>
        </is>
      </c>
      <c r="D447" s="6" t="inlineStr">
        <is>
          <t>Internal</t>
        </is>
      </c>
      <c r="E447" s="6" t="inlineStr">
        <is>
          <t>Internal</t>
        </is>
      </c>
      <c r="F447" s="12" t="inlineStr">
        <is>
          <t>PASS</t>
        </is>
      </c>
      <c r="G447" t="inlineStr">
        <is>
          <t>BIM-core.DataConfidentiality</t>
        </is>
      </c>
      <c r="H447" s="6" t="n"/>
    </row>
    <row r="448">
      <c r="A448" t="inlineStr">
        <is>
          <t>EFL_UI_SECTION</t>
        </is>
      </c>
      <c r="B448" t="inlineStr">
        <is>
          <t>Entity</t>
        </is>
      </c>
      <c r="C448" t="inlineStr">
        <is>
          <t>DesignStatus</t>
        </is>
      </c>
      <c r="D448" s="6" t="inlineStr">
        <is>
          <t>Approved</t>
        </is>
      </c>
      <c r="E448" s="6" t="inlineStr">
        <is>
          <t>Approved</t>
        </is>
      </c>
      <c r="F448" s="12" t="inlineStr">
        <is>
          <t>PASS</t>
        </is>
      </c>
      <c r="G448" t="inlineStr">
        <is>
          <t>BIM-core.DesignStatus</t>
        </is>
      </c>
      <c r="H448" s="6" t="n"/>
    </row>
    <row r="449">
      <c r="A449" t="inlineStr">
        <is>
          <t>EFL_UI_SECTION</t>
        </is>
      </c>
      <c r="B449" t="inlineStr">
        <is>
          <t>Entity</t>
        </is>
      </c>
      <c r="C449" t="inlineStr">
        <is>
          <t>EntityCategory</t>
        </is>
      </c>
      <c r="D449" s="6" t="inlineStr">
        <is>
          <t>Internal Reference</t>
        </is>
      </c>
      <c r="E449" s="6" t="inlineStr">
        <is>
          <t>Internal Reference</t>
        </is>
      </c>
      <c r="F449" s="12" t="inlineStr">
        <is>
          <t>PASS</t>
        </is>
      </c>
      <c r="G449" t="inlineStr">
        <is>
          <t>BIM-core.EntityCategory</t>
        </is>
      </c>
      <c r="H449" s="6" t="n"/>
    </row>
    <row r="450">
      <c r="A450" t="inlineStr">
        <is>
          <t>EFL_UI_SECTION</t>
        </is>
      </c>
      <c r="B450" t="inlineStr">
        <is>
          <t>Entity</t>
        </is>
      </c>
      <c r="C450" t="inlineStr">
        <is>
          <t>EntityPersonalData</t>
        </is>
      </c>
      <c r="D450" s="6" t="inlineStr">
        <is>
          <t>No Personal Data</t>
        </is>
      </c>
      <c r="E450" s="6" t="inlineStr">
        <is>
          <t>No Personal Data</t>
        </is>
      </c>
      <c r="F450" s="12" t="inlineStr">
        <is>
          <t>PASS</t>
        </is>
      </c>
      <c r="G450" t="inlineStr">
        <is>
          <t>BIM-core.EntityPersonalData</t>
        </is>
      </c>
      <c r="H450" s="6" t="n"/>
    </row>
    <row r="451">
      <c r="A451" t="inlineStr">
        <is>
          <t>EFL_UI_SECTION</t>
        </is>
      </c>
      <c r="B451" t="inlineStr">
        <is>
          <t>Entity</t>
        </is>
      </c>
      <c r="C451" t="inlineStr">
        <is>
          <t>FinancialPersonalData</t>
        </is>
      </c>
      <c r="D451" s="6" t="inlineStr">
        <is>
          <t>No Financial Personal Data</t>
        </is>
      </c>
      <c r="E451" s="6" t="inlineStr">
        <is>
          <t>No Financial Personal Data</t>
        </is>
      </c>
      <c r="F451" s="12" t="inlineStr">
        <is>
          <t>PASS</t>
        </is>
      </c>
      <c r="G451" t="inlineStr">
        <is>
          <t>BIM-core.FinancialPersonalData</t>
        </is>
      </c>
      <c r="H451" s="6" t="n"/>
    </row>
    <row r="452">
      <c r="A452" t="inlineStr">
        <is>
          <t>EFL_UI_SECTION</t>
        </is>
      </c>
      <c r="B452" t="inlineStr">
        <is>
          <t>Entity</t>
        </is>
      </c>
      <c r="C452" t="inlineStr">
        <is>
          <t>MTED_EDaM_Mapping_Note</t>
        </is>
      </c>
      <c r="D452" s="6" t="inlineStr">
        <is>
          <t>{\rtf1\ansi\ansicpg1252\deff0\nouicompat\deflang2057{\fonttbl{\f0\fnil\fcharset0 Times New Roman;}}</t>
        </is>
      </c>
      <c r="E452" s="6" t="inlineStr">
        <is>
          <t>{\rtf1\ansi\ansicpg1252\deff0\nouicompat\deflang2057{\fonttbl{\f0\fnil\fcharset0 Times New Roman;}}</t>
        </is>
      </c>
      <c r="F452" s="12" t="inlineStr">
        <is>
          <t>PASS</t>
        </is>
      </c>
      <c r="G452" t="inlineStr">
        <is>
          <t>BIM-core.MTED_EDaM_Mapping_Note</t>
        </is>
      </c>
      <c r="H452" s="6" t="n"/>
    </row>
    <row r="453">
      <c r="A453" t="inlineStr">
        <is>
          <t>EFL_UI_SECTION</t>
        </is>
      </c>
      <c r="B453" t="inlineStr">
        <is>
          <t>Entity</t>
        </is>
      </c>
      <c r="C453" t="inlineStr">
        <is>
          <t>MappingLevel</t>
        </is>
      </c>
      <c r="D453" s="6" t="inlineStr">
        <is>
          <t>Application Specific</t>
        </is>
      </c>
      <c r="E453" s="6" t="inlineStr">
        <is>
          <t>Application Specific</t>
        </is>
      </c>
      <c r="F453" s="12" t="inlineStr">
        <is>
          <t>PASS</t>
        </is>
      </c>
      <c r="G453" t="inlineStr">
        <is>
          <t>BIM-core.MappingLevel</t>
        </is>
      </c>
      <c r="H453" s="6" t="n"/>
    </row>
    <row r="454">
      <c r="A454" t="inlineStr">
        <is>
          <t>EFL_UI_SECTION</t>
        </is>
      </c>
      <c r="B454" t="inlineStr">
        <is>
          <t>Entity</t>
        </is>
      </c>
      <c r="C454" t="inlineStr">
        <is>
          <t>PD_ObjectID</t>
        </is>
      </c>
      <c r="D454" s="6" t="inlineStr">
        <is>
          <t>3899CDF0-B59C-41DF-B66D-EEDE33B5B58D</t>
        </is>
      </c>
      <c r="E454" s="6" t="inlineStr">
        <is>
          <t>3899CDF0-B59C-41DF-B66D-EEDE33B5B58D</t>
        </is>
      </c>
      <c r="F454" s="12" t="inlineStr">
        <is>
          <t>PASS</t>
        </is>
      </c>
      <c r="H454" s="6" t="n"/>
    </row>
    <row r="455">
      <c r="A455" t="inlineStr">
        <is>
          <t>EFL_UI_SECTION</t>
        </is>
      </c>
      <c r="B455" t="inlineStr">
        <is>
          <t>Entity</t>
        </is>
      </c>
      <c r="C455" t="inlineStr">
        <is>
          <t>PD_SourceExtraction</t>
        </is>
      </c>
      <c r="D455" s="6" t="inlineStr">
        <is>
          <t>46603045</t>
        </is>
      </c>
      <c r="E455" s="6" t="inlineStr">
        <is>
          <t>46603045</t>
        </is>
      </c>
      <c r="F455" s="12" t="inlineStr">
        <is>
          <t>PASS</t>
        </is>
      </c>
      <c r="H455" s="6" t="n"/>
    </row>
    <row r="456">
      <c r="A456" t="inlineStr">
        <is>
          <t>EFL_UI_SECTION</t>
        </is>
      </c>
      <c r="B456" t="inlineStr">
        <is>
          <t>Entity</t>
        </is>
      </c>
      <c r="C456" t="inlineStr">
        <is>
          <t>PD_SourceModel</t>
        </is>
      </c>
      <c r="D456" s="6" t="inlineStr">
        <is>
          <t>05_Carbon_Calculator</t>
        </is>
      </c>
      <c r="E456" s="6" t="inlineStr">
        <is>
          <t>05_Carbon_Calculator</t>
        </is>
      </c>
      <c r="F456" s="12" t="inlineStr">
        <is>
          <t>PASS</t>
        </is>
      </c>
      <c r="H456" s="6" t="n"/>
    </row>
    <row r="457">
      <c r="A457" t="inlineStr">
        <is>
          <t>EFL_UI_SECTION</t>
        </is>
      </c>
      <c r="B457" t="inlineStr">
        <is>
          <t>Entity</t>
        </is>
      </c>
      <c r="C457" t="inlineStr">
        <is>
          <t>SensitivePersonalData</t>
        </is>
      </c>
      <c r="D457" s="6" t="inlineStr">
        <is>
          <t>No Sensitive Personal Data</t>
        </is>
      </c>
      <c r="E457" s="6" t="inlineStr">
        <is>
          <t>No Sensitive Personal Data</t>
        </is>
      </c>
      <c r="F457" s="12" t="inlineStr">
        <is>
          <t>PASS</t>
        </is>
      </c>
      <c r="G457" t="inlineStr">
        <is>
          <t>BIM-core.SensitivePersonalData</t>
        </is>
      </c>
      <c r="H457" s="6" t="n"/>
    </row>
    <row r="458">
      <c r="A458" t="inlineStr">
        <is>
          <t>EFL_UI_WORKFLOW_STATUS</t>
        </is>
      </c>
      <c r="B458" t="inlineStr">
        <is>
          <t>Entity</t>
        </is>
      </c>
      <c r="C458" t="inlineStr">
        <is>
          <t>CommerciallySensitiveInformation</t>
        </is>
      </c>
      <c r="D458" s="6" t="inlineStr">
        <is>
          <t>No Commercially Sensitive Information</t>
        </is>
      </c>
      <c r="E458" s="6" t="inlineStr">
        <is>
          <t>No Commercially Sensitive Information</t>
        </is>
      </c>
      <c r="F458" s="12" t="inlineStr">
        <is>
          <t>PASS</t>
        </is>
      </c>
      <c r="G458" t="inlineStr">
        <is>
          <t>BIM-core.CommerciallySensitiveInformation</t>
        </is>
      </c>
      <c r="H458" s="6" t="n"/>
    </row>
    <row r="459">
      <c r="A459" t="inlineStr">
        <is>
          <t>EFL_UI_WORKFLOW_STATUS</t>
        </is>
      </c>
      <c r="B459" t="inlineStr">
        <is>
          <t>Entity</t>
        </is>
      </c>
      <c r="C459" t="inlineStr">
        <is>
          <t>Criticality</t>
        </is>
      </c>
      <c r="D459" s="6" t="inlineStr">
        <is>
          <t>No Critical Data</t>
        </is>
      </c>
      <c r="E459" s="6" t="inlineStr">
        <is>
          <t>No Critical Data</t>
        </is>
      </c>
      <c r="F459" s="12" t="inlineStr">
        <is>
          <t>PASS</t>
        </is>
      </c>
      <c r="G459" t="inlineStr">
        <is>
          <t>BIM-core.Criticality</t>
        </is>
      </c>
      <c r="H459" s="6" t="n"/>
    </row>
    <row r="460">
      <c r="A460" t="inlineStr">
        <is>
          <t>EFL_UI_WORKFLOW_STATUS</t>
        </is>
      </c>
      <c r="B460" t="inlineStr">
        <is>
          <t>Entity</t>
        </is>
      </c>
      <c r="C460" t="inlineStr">
        <is>
          <t>DataCategory</t>
        </is>
      </c>
      <c r="D460" s="6" t="inlineStr">
        <is>
          <t>Structured</t>
        </is>
      </c>
      <c r="E460" s="6" t="inlineStr">
        <is>
          <t>Structured</t>
        </is>
      </c>
      <c r="F460" s="12" t="inlineStr">
        <is>
          <t>PASS</t>
        </is>
      </c>
      <c r="G460" t="inlineStr">
        <is>
          <t>BIM-core.DataCategory</t>
        </is>
      </c>
      <c r="H460" s="6" t="n"/>
    </row>
    <row r="461">
      <c r="A461" t="inlineStr">
        <is>
          <t>EFL_UI_WORKFLOW_STATUS</t>
        </is>
      </c>
      <c r="B461" t="inlineStr">
        <is>
          <t>Entity</t>
        </is>
      </c>
      <c r="C461" t="inlineStr">
        <is>
          <t>DataConfidentiality</t>
        </is>
      </c>
      <c r="D461" s="6" t="inlineStr">
        <is>
          <t>Internal</t>
        </is>
      </c>
      <c r="E461" s="6" t="inlineStr">
        <is>
          <t>Internal</t>
        </is>
      </c>
      <c r="F461" s="12" t="inlineStr">
        <is>
          <t>PASS</t>
        </is>
      </c>
      <c r="G461" t="inlineStr">
        <is>
          <t>BIM-core.DataConfidentiality</t>
        </is>
      </c>
      <c r="H461" s="6" t="n"/>
    </row>
    <row r="462">
      <c r="A462" t="inlineStr">
        <is>
          <t>EFL_UI_WORKFLOW_STATUS</t>
        </is>
      </c>
      <c r="B462" t="inlineStr">
        <is>
          <t>Entity</t>
        </is>
      </c>
      <c r="C462" t="inlineStr">
        <is>
          <t>DesignStatus</t>
        </is>
      </c>
      <c r="D462" s="6" t="inlineStr">
        <is>
          <t>Approved</t>
        </is>
      </c>
      <c r="E462" s="6" t="inlineStr">
        <is>
          <t>Approved</t>
        </is>
      </c>
      <c r="F462" s="12" t="inlineStr">
        <is>
          <t>PASS</t>
        </is>
      </c>
      <c r="G462" t="inlineStr">
        <is>
          <t>BIM-core.DesignStatus</t>
        </is>
      </c>
      <c r="H462" s="6" t="n"/>
    </row>
    <row r="463">
      <c r="A463" t="inlineStr">
        <is>
          <t>EFL_UI_WORKFLOW_STATUS</t>
        </is>
      </c>
      <c r="B463" t="inlineStr">
        <is>
          <t>Entity</t>
        </is>
      </c>
      <c r="C463" t="inlineStr">
        <is>
          <t>EntityCategory</t>
        </is>
      </c>
      <c r="D463" s="6" t="inlineStr">
        <is>
          <t>Internal Reference</t>
        </is>
      </c>
      <c r="E463" s="6" t="inlineStr">
        <is>
          <t>Internal Reference</t>
        </is>
      </c>
      <c r="F463" s="12" t="inlineStr">
        <is>
          <t>PASS</t>
        </is>
      </c>
      <c r="G463" t="inlineStr">
        <is>
          <t>BIM-core.EntityCategory</t>
        </is>
      </c>
      <c r="H463" s="6" t="n"/>
    </row>
    <row r="464">
      <c r="A464" t="inlineStr">
        <is>
          <t>EFL_UI_WORKFLOW_STATUS</t>
        </is>
      </c>
      <c r="B464" t="inlineStr">
        <is>
          <t>Entity</t>
        </is>
      </c>
      <c r="C464" t="inlineStr">
        <is>
          <t>EntityPersonalData</t>
        </is>
      </c>
      <c r="D464" s="6" t="inlineStr">
        <is>
          <t>No Personal Data</t>
        </is>
      </c>
      <c r="E464" s="6" t="inlineStr">
        <is>
          <t>No Personal Data</t>
        </is>
      </c>
      <c r="F464" s="12" t="inlineStr">
        <is>
          <t>PASS</t>
        </is>
      </c>
      <c r="G464" t="inlineStr">
        <is>
          <t>BIM-core.EntityPersonalData</t>
        </is>
      </c>
      <c r="H464" s="6" t="n"/>
    </row>
    <row r="465">
      <c r="A465" t="inlineStr">
        <is>
          <t>EFL_UI_WORKFLOW_STATUS</t>
        </is>
      </c>
      <c r="B465" t="inlineStr">
        <is>
          <t>Entity</t>
        </is>
      </c>
      <c r="C465" t="inlineStr">
        <is>
          <t>FinancialPersonalData</t>
        </is>
      </c>
      <c r="D465" s="6" t="inlineStr">
        <is>
          <t>No Financial Personal Data</t>
        </is>
      </c>
      <c r="E465" s="6" t="inlineStr">
        <is>
          <t>No Financial Personal Data</t>
        </is>
      </c>
      <c r="F465" s="12" t="inlineStr">
        <is>
          <t>PASS</t>
        </is>
      </c>
      <c r="G465" t="inlineStr">
        <is>
          <t>BIM-core.FinancialPersonalData</t>
        </is>
      </c>
      <c r="H465" s="6" t="n"/>
    </row>
    <row r="466">
      <c r="A466" t="inlineStr">
        <is>
          <t>EFL_UI_WORKFLOW_STATUS</t>
        </is>
      </c>
      <c r="B466" t="inlineStr">
        <is>
          <t>Entity</t>
        </is>
      </c>
      <c r="C466" t="inlineStr">
        <is>
          <t>MTED_EDaM_Mapping_Note</t>
        </is>
      </c>
      <c r="D466" s="6" t="inlineStr">
        <is>
          <t>{\rtf1\ansi\ansicpg1252\deff0\nouicompat\deflang2057{\fonttbl{\f0\fnil\fcharset0 Times New Roman;}}</t>
        </is>
      </c>
      <c r="E466" s="6" t="inlineStr">
        <is>
          <t>{\rtf1\ansi\ansicpg1252\deff0\nouicompat\deflang2057{\fonttbl{\f0\fnil\fcharset0 Times New Roman;}}</t>
        </is>
      </c>
      <c r="F466" s="12" t="inlineStr">
        <is>
          <t>PASS</t>
        </is>
      </c>
      <c r="G466" t="inlineStr">
        <is>
          <t>BIM-core.MTED_EDaM_Mapping_Note</t>
        </is>
      </c>
      <c r="H466" s="6" t="n"/>
    </row>
    <row r="467">
      <c r="A467" t="inlineStr">
        <is>
          <t>EFL_UI_WORKFLOW_STATUS</t>
        </is>
      </c>
      <c r="B467" t="inlineStr">
        <is>
          <t>Entity</t>
        </is>
      </c>
      <c r="C467" t="inlineStr">
        <is>
          <t>MappingLevel</t>
        </is>
      </c>
      <c r="D467" s="6" t="inlineStr">
        <is>
          <t>Application Specific</t>
        </is>
      </c>
      <c r="E467" s="6" t="inlineStr">
        <is>
          <t>Application Specific</t>
        </is>
      </c>
      <c r="F467" s="12" t="inlineStr">
        <is>
          <t>PASS</t>
        </is>
      </c>
      <c r="G467" t="inlineStr">
        <is>
          <t>BIM-core.MappingLevel</t>
        </is>
      </c>
      <c r="H467" s="6" t="n"/>
    </row>
    <row r="468">
      <c r="A468" t="inlineStr">
        <is>
          <t>EFL_UI_WORKFLOW_STATUS</t>
        </is>
      </c>
      <c r="B468" t="inlineStr">
        <is>
          <t>Entity</t>
        </is>
      </c>
      <c r="C468" t="inlineStr">
        <is>
          <t>PD_ObjectID</t>
        </is>
      </c>
      <c r="D468" s="6" t="inlineStr">
        <is>
          <t>10B1975E-C1AD-4CFF-B5D9-A8CFDA519A52</t>
        </is>
      </c>
      <c r="E468" s="6" t="inlineStr">
        <is>
          <t>10B1975E-C1AD-4CFF-B5D9-A8CFDA519A52</t>
        </is>
      </c>
      <c r="F468" s="12" t="inlineStr">
        <is>
          <t>PASS</t>
        </is>
      </c>
      <c r="H468" s="6" t="n"/>
    </row>
    <row r="469">
      <c r="A469" t="inlineStr">
        <is>
          <t>EFL_UI_WORKFLOW_STATUS</t>
        </is>
      </c>
      <c r="B469" t="inlineStr">
        <is>
          <t>Entity</t>
        </is>
      </c>
      <c r="C469" t="inlineStr">
        <is>
          <t>PD_SourceExtraction</t>
        </is>
      </c>
      <c r="D469" s="6" t="inlineStr">
        <is>
          <t>46603045</t>
        </is>
      </c>
      <c r="E469" s="6" t="inlineStr">
        <is>
          <t>46603045</t>
        </is>
      </c>
      <c r="F469" s="12" t="inlineStr">
        <is>
          <t>PASS</t>
        </is>
      </c>
      <c r="H469" s="6" t="n"/>
    </row>
    <row r="470">
      <c r="A470" t="inlineStr">
        <is>
          <t>EFL_UI_WORKFLOW_STATUS</t>
        </is>
      </c>
      <c r="B470" t="inlineStr">
        <is>
          <t>Entity</t>
        </is>
      </c>
      <c r="C470" t="inlineStr">
        <is>
          <t>PD_SourceModel</t>
        </is>
      </c>
      <c r="D470" s="6" t="inlineStr">
        <is>
          <t>05_Carbon_Calculator</t>
        </is>
      </c>
      <c r="E470" s="6" t="inlineStr">
        <is>
          <t>05_Carbon_Calculator</t>
        </is>
      </c>
      <c r="F470" s="12" t="inlineStr">
        <is>
          <t>PASS</t>
        </is>
      </c>
      <c r="H470" s="6" t="n"/>
    </row>
    <row r="471">
      <c r="A471" t="inlineStr">
        <is>
          <t>EFL_UI_WORKFLOW_STATUS</t>
        </is>
      </c>
      <c r="B471" t="inlineStr">
        <is>
          <t>Entity</t>
        </is>
      </c>
      <c r="C471" t="inlineStr">
        <is>
          <t>SensitivePersonalData</t>
        </is>
      </c>
      <c r="D471" s="6" t="inlineStr">
        <is>
          <t>No Sensitive Personal Data</t>
        </is>
      </c>
      <c r="E471" s="6" t="inlineStr">
        <is>
          <t>No Sensitive Personal Data</t>
        </is>
      </c>
      <c r="F471" s="12" t="inlineStr">
        <is>
          <t>PASS</t>
        </is>
      </c>
      <c r="G471" t="inlineStr">
        <is>
          <t>BIM-core.SensitivePersonalData</t>
        </is>
      </c>
      <c r="H471" s="6" t="n"/>
    </row>
    <row r="472">
      <c r="A472" t="inlineStr">
        <is>
          <t>EQUIPMENT_ENGINE_TYPE</t>
        </is>
      </c>
      <c r="B472" t="inlineStr">
        <is>
          <t>Entity</t>
        </is>
      </c>
      <c r="C472" t="inlineStr">
        <is>
          <t>CSI</t>
        </is>
      </c>
      <c r="D472" s="6" t="inlineStr">
        <is>
          <t>false</t>
        </is>
      </c>
      <c r="E472" s="6" t="inlineStr">
        <is>
          <t>false</t>
        </is>
      </c>
      <c r="F472" s="12" t="inlineStr">
        <is>
          <t>PASS</t>
        </is>
      </c>
      <c r="G472" t="inlineStr">
        <is>
          <t>SHL_LDM_EntityPropertyExtension.CSI</t>
        </is>
      </c>
      <c r="H472" s="6" t="n"/>
    </row>
    <row r="473">
      <c r="A473" t="inlineStr">
        <is>
          <t>EQUIPMENT_ENGINE_TYPE</t>
        </is>
      </c>
      <c r="B473" t="inlineStr">
        <is>
          <t>Entity</t>
        </is>
      </c>
      <c r="C473" t="inlineStr">
        <is>
          <t>CommerciallySensitiveInformation</t>
        </is>
      </c>
      <c r="D473" s="6" t="inlineStr">
        <is>
          <t>No Commercially Sensitive Information</t>
        </is>
      </c>
      <c r="E473" s="6" t="inlineStr">
        <is>
          <t>No Commercially Sensitive Information</t>
        </is>
      </c>
      <c r="F473" s="12" t="inlineStr">
        <is>
          <t>PASS</t>
        </is>
      </c>
      <c r="G473" t="inlineStr">
        <is>
          <t>BIM-core.CommerciallySensitiveInformation</t>
        </is>
      </c>
      <c r="H473" s="6" t="n"/>
    </row>
    <row r="474">
      <c r="A474" t="inlineStr">
        <is>
          <t>EQUIPMENT_ENGINE_TYPE</t>
        </is>
      </c>
      <c r="B474" t="inlineStr">
        <is>
          <t>Entity</t>
        </is>
      </c>
      <c r="C474" t="inlineStr">
        <is>
          <t>Criticality</t>
        </is>
      </c>
      <c r="D474" s="6" t="inlineStr">
        <is>
          <t>No Critical Data</t>
        </is>
      </c>
      <c r="E474" s="6" t="inlineStr">
        <is>
          <t>No Critical Data</t>
        </is>
      </c>
      <c r="F474" s="12" t="inlineStr">
        <is>
          <t>PASS</t>
        </is>
      </c>
      <c r="G474" t="inlineStr">
        <is>
          <t>BIM-core.Criticality</t>
        </is>
      </c>
      <c r="H474" s="6" t="n"/>
    </row>
    <row r="475">
      <c r="A475" t="inlineStr">
        <is>
          <t>EQUIPMENT_ENGINE_TYPE</t>
        </is>
      </c>
      <c r="B475" t="inlineStr">
        <is>
          <t>Entity</t>
        </is>
      </c>
      <c r="C475" t="inlineStr">
        <is>
          <t>DataCategory</t>
        </is>
      </c>
      <c r="D475" s="6" t="inlineStr">
        <is>
          <t>Structured</t>
        </is>
      </c>
      <c r="E475" s="6" t="inlineStr">
        <is>
          <t>Structured</t>
        </is>
      </c>
      <c r="F475" s="12" t="inlineStr">
        <is>
          <t>PASS</t>
        </is>
      </c>
      <c r="G475" t="inlineStr">
        <is>
          <t>BIM-core.DataCategory</t>
        </is>
      </c>
      <c r="H475" s="6" t="n"/>
    </row>
    <row r="476">
      <c r="A476" t="inlineStr">
        <is>
          <t>EQUIPMENT_ENGINE_TYPE</t>
        </is>
      </c>
      <c r="B476" t="inlineStr">
        <is>
          <t>Entity</t>
        </is>
      </c>
      <c r="C476" t="inlineStr">
        <is>
          <t>DataConfidentiality</t>
        </is>
      </c>
      <c r="D476" s="6" t="inlineStr">
        <is>
          <t>Internal</t>
        </is>
      </c>
      <c r="E476" s="6" t="inlineStr">
        <is>
          <t>Internal</t>
        </is>
      </c>
      <c r="F476" s="12" t="inlineStr">
        <is>
          <t>PASS</t>
        </is>
      </c>
      <c r="G476" t="inlineStr">
        <is>
          <t>BIM-core.DataConfidentiality</t>
        </is>
      </c>
      <c r="H476" s="6" t="n"/>
    </row>
    <row r="477">
      <c r="A477" t="inlineStr">
        <is>
          <t>EQUIPMENT_ENGINE_TYPE</t>
        </is>
      </c>
      <c r="B477" t="inlineStr">
        <is>
          <t>Entity</t>
        </is>
      </c>
      <c r="C477" t="inlineStr">
        <is>
          <t>DesignStatus</t>
        </is>
      </c>
      <c r="D477" s="6" t="inlineStr">
        <is>
          <t>Approved</t>
        </is>
      </c>
      <c r="E477" s="6" t="inlineStr">
        <is>
          <t>Approved</t>
        </is>
      </c>
      <c r="F477" s="12" t="inlineStr">
        <is>
          <t>PASS</t>
        </is>
      </c>
      <c r="G477" t="inlineStr">
        <is>
          <t>BIM-core.DesignStatus</t>
        </is>
      </c>
      <c r="H477" s="6" t="n"/>
    </row>
    <row r="478">
      <c r="A478" t="inlineStr">
        <is>
          <t>EQUIPMENT_ENGINE_TYPE</t>
        </is>
      </c>
      <c r="B478" t="inlineStr">
        <is>
          <t>Entity</t>
        </is>
      </c>
      <c r="C478" t="inlineStr">
        <is>
          <t>EntityCategory</t>
        </is>
      </c>
      <c r="D478" s="6" t="inlineStr">
        <is>
          <t>Intersection</t>
        </is>
      </c>
      <c r="E478" s="6" t="inlineStr">
        <is>
          <t>Intersection</t>
        </is>
      </c>
      <c r="F478" s="12" t="inlineStr">
        <is>
          <t>PASS</t>
        </is>
      </c>
      <c r="G478" t="inlineStr">
        <is>
          <t>BIM-core.EntityCategory</t>
        </is>
      </c>
      <c r="H478" s="6" t="n"/>
    </row>
    <row r="479">
      <c r="A479" t="inlineStr">
        <is>
          <t>EQUIPMENT_ENGINE_TYPE</t>
        </is>
      </c>
      <c r="B479" t="inlineStr">
        <is>
          <t>Entity</t>
        </is>
      </c>
      <c r="C479" t="inlineStr">
        <is>
          <t>EntityPersonalData</t>
        </is>
      </c>
      <c r="D479" s="6" t="inlineStr">
        <is>
          <t>No Personal Data</t>
        </is>
      </c>
      <c r="E479" s="6" t="inlineStr">
        <is>
          <t>No Personal Data</t>
        </is>
      </c>
      <c r="F479" s="12" t="inlineStr">
        <is>
          <t>PASS</t>
        </is>
      </c>
      <c r="G479" t="inlineStr">
        <is>
          <t>BIM-core.EntityPersonalData</t>
        </is>
      </c>
      <c r="H479" s="6" t="n"/>
    </row>
    <row r="480">
      <c r="A480" t="inlineStr">
        <is>
          <t>EQUIPMENT_ENGINE_TYPE</t>
        </is>
      </c>
      <c r="B480" t="inlineStr">
        <is>
          <t>Entity</t>
        </is>
      </c>
      <c r="C480" t="inlineStr">
        <is>
          <t>FinancialPersonalData</t>
        </is>
      </c>
      <c r="D480" s="6" t="inlineStr">
        <is>
          <t>No Financial Personal Data</t>
        </is>
      </c>
      <c r="E480" s="6" t="inlineStr">
        <is>
          <t>No Financial Personal Data</t>
        </is>
      </c>
      <c r="F480" s="12" t="inlineStr">
        <is>
          <t>PASS</t>
        </is>
      </c>
      <c r="G480" t="inlineStr">
        <is>
          <t>BIM-core.FinancialPersonalData</t>
        </is>
      </c>
      <c r="H480" s="6" t="n"/>
    </row>
    <row r="481">
      <c r="A481" t="inlineStr">
        <is>
          <t>EQUIPMENT_ENGINE_TYPE</t>
        </is>
      </c>
      <c r="B481" t="inlineStr">
        <is>
          <t>Entity</t>
        </is>
      </c>
      <c r="C481" t="inlineStr">
        <is>
          <t>MTED_Encryption_Required</t>
        </is>
      </c>
      <c r="D481" s="6" t="inlineStr">
        <is>
          <t>false</t>
        </is>
      </c>
      <c r="E481" s="6" t="inlineStr">
        <is>
          <t>false</t>
        </is>
      </c>
      <c r="F481" s="12" t="inlineStr">
        <is>
          <t>PASS</t>
        </is>
      </c>
      <c r="G481" t="inlineStr">
        <is>
          <t>SHL_LDM_EntityPropertyExtension.MTED_Encryption_Required</t>
        </is>
      </c>
      <c r="H481" s="6" t="n"/>
    </row>
    <row r="482">
      <c r="A482" t="inlineStr">
        <is>
          <t>EQUIPMENT_ENGINE_TYPE</t>
        </is>
      </c>
      <c r="B482" t="inlineStr">
        <is>
          <t>Entity</t>
        </is>
      </c>
      <c r="C482" t="inlineStr">
        <is>
          <t>MappingLevel</t>
        </is>
      </c>
      <c r="D482" s="6" t="inlineStr">
        <is>
          <t>BLM</t>
        </is>
      </c>
      <c r="E482" s="6" t="inlineStr">
        <is>
          <t>BLM</t>
        </is>
      </c>
      <c r="F482" s="12" t="inlineStr">
        <is>
          <t>PASS</t>
        </is>
      </c>
      <c r="G482" t="inlineStr">
        <is>
          <t>BIM-core.MappingLevel</t>
        </is>
      </c>
      <c r="H482" s="6" t="n"/>
    </row>
    <row r="483">
      <c r="A483" t="inlineStr">
        <is>
          <t>EQUIPMENT_ENGINE_TYPE</t>
        </is>
      </c>
      <c r="B483" t="inlineStr">
        <is>
          <t>Entity</t>
        </is>
      </c>
      <c r="C483" t="inlineStr">
        <is>
          <t>MapsToEntity</t>
        </is>
      </c>
      <c r="D483" s="6" t="inlineStr">
        <is>
          <t>EQUIPMENT_ENGINE_TYPE</t>
        </is>
      </c>
      <c r="E483" s="6" t="inlineStr">
        <is>
          <t>EQUIPMENT_ENGINE_TYPE</t>
        </is>
      </c>
      <c r="F483" s="12" t="inlineStr">
        <is>
          <t>PASS</t>
        </is>
      </c>
      <c r="G483" t="inlineStr">
        <is>
          <t>BIM-core.MapsToEntity</t>
        </is>
      </c>
      <c r="H483" s="6" t="n"/>
    </row>
    <row r="484">
      <c r="A484" t="inlineStr">
        <is>
          <t>EQUIPMENT_ENGINE_TYPE</t>
        </is>
      </c>
      <c r="B484" t="inlineStr">
        <is>
          <t>Entity</t>
        </is>
      </c>
      <c r="C484" t="inlineStr">
        <is>
          <t>PD_ObjectID</t>
        </is>
      </c>
      <c r="D484" s="6" t="inlineStr">
        <is>
          <t>D5131519-7B9E-41E4-8095-A95C215BCCDE</t>
        </is>
      </c>
      <c r="E484" s="6" t="inlineStr">
        <is>
          <t>D5131519-7B9E-41E4-8095-A95C215BCCDE</t>
        </is>
      </c>
      <c r="F484" s="12" t="inlineStr">
        <is>
          <t>PASS</t>
        </is>
      </c>
      <c r="H484" s="6" t="n"/>
    </row>
    <row r="485">
      <c r="A485" t="inlineStr">
        <is>
          <t>EQUIPMENT_ENGINE_TYPE</t>
        </is>
      </c>
      <c r="B485" t="inlineStr">
        <is>
          <t>Entity</t>
        </is>
      </c>
      <c r="C485" t="inlineStr">
        <is>
          <t>PD_SourceExtraction</t>
        </is>
      </c>
      <c r="D485" s="6" t="inlineStr">
        <is>
          <t>46603045</t>
        </is>
      </c>
      <c r="E485" s="6" t="inlineStr">
        <is>
          <t>46603045</t>
        </is>
      </c>
      <c r="F485" s="12" t="inlineStr">
        <is>
          <t>PASS</t>
        </is>
      </c>
      <c r="H485" s="6" t="n"/>
    </row>
    <row r="486">
      <c r="A486" t="inlineStr">
        <is>
          <t>EQUIPMENT_ENGINE_TYPE</t>
        </is>
      </c>
      <c r="B486" t="inlineStr">
        <is>
          <t>Entity</t>
        </is>
      </c>
      <c r="C486" t="inlineStr">
        <is>
          <t>PD_SourceModel</t>
        </is>
      </c>
      <c r="D486" s="6" t="inlineStr">
        <is>
          <t>05_Carbon_Calculator</t>
        </is>
      </c>
      <c r="E486" s="6" t="inlineStr">
        <is>
          <t>05_Carbon_Calculator</t>
        </is>
      </c>
      <c r="F486" s="12" t="inlineStr">
        <is>
          <t>PASS</t>
        </is>
      </c>
      <c r="H486" s="6" t="n"/>
    </row>
    <row r="487">
      <c r="A487" t="inlineStr">
        <is>
          <t>EQUIPMENT_ENGINE_TYPE</t>
        </is>
      </c>
      <c r="B487" t="inlineStr">
        <is>
          <t>Entity</t>
        </is>
      </c>
      <c r="C487" t="inlineStr">
        <is>
          <t>SensitivePersonalData</t>
        </is>
      </c>
      <c r="D487" s="6" t="inlineStr">
        <is>
          <t>No Sensitive Personal Data</t>
        </is>
      </c>
      <c r="E487" s="6" t="inlineStr">
        <is>
          <t>No Sensitive Personal Data</t>
        </is>
      </c>
      <c r="F487" s="12" t="inlineStr">
        <is>
          <t>PASS</t>
        </is>
      </c>
      <c r="G487" t="inlineStr">
        <is>
          <t>BIM-core.SensitivePersonalData</t>
        </is>
      </c>
      <c r="H487" s="6" t="n"/>
    </row>
    <row r="488">
      <c r="A488" t="inlineStr">
        <is>
          <t>EQUIPMENT_TYPE</t>
        </is>
      </c>
      <c r="B488" t="inlineStr">
        <is>
          <t>Entity</t>
        </is>
      </c>
      <c r="C488" t="inlineStr">
        <is>
          <t>CSI</t>
        </is>
      </c>
      <c r="D488" s="6" t="inlineStr">
        <is>
          <t>false</t>
        </is>
      </c>
      <c r="E488" s="6" t="inlineStr">
        <is>
          <t>false</t>
        </is>
      </c>
      <c r="F488" s="12" t="inlineStr">
        <is>
          <t>PASS</t>
        </is>
      </c>
      <c r="G488" t="inlineStr">
        <is>
          <t>SHL_LDM_EntityPropertyExtension.CSI</t>
        </is>
      </c>
      <c r="H488" s="6" t="n"/>
    </row>
    <row r="489">
      <c r="A489" t="inlineStr">
        <is>
          <t>EQUIPMENT_TYPE</t>
        </is>
      </c>
      <c r="B489" t="inlineStr">
        <is>
          <t>Entity</t>
        </is>
      </c>
      <c r="C489" t="inlineStr">
        <is>
          <t>CommerciallySensitiveInformation</t>
        </is>
      </c>
      <c r="D489" s="6" t="inlineStr">
        <is>
          <t>No Commercially Sensitive Information</t>
        </is>
      </c>
      <c r="E489" s="6" t="inlineStr">
        <is>
          <t>No Commercially Sensitive Information</t>
        </is>
      </c>
      <c r="F489" s="12" t="inlineStr">
        <is>
          <t>PASS</t>
        </is>
      </c>
      <c r="G489" t="inlineStr">
        <is>
          <t>BIM-core.CommerciallySensitiveInformation</t>
        </is>
      </c>
      <c r="H489" s="6" t="n"/>
    </row>
    <row r="490">
      <c r="A490" t="inlineStr">
        <is>
          <t>EQUIPMENT_TYPE</t>
        </is>
      </c>
      <c r="B490" t="inlineStr">
        <is>
          <t>Entity</t>
        </is>
      </c>
      <c r="C490" t="inlineStr">
        <is>
          <t>Criticality</t>
        </is>
      </c>
      <c r="D490" s="6" t="inlineStr">
        <is>
          <t>No Critical Data</t>
        </is>
      </c>
      <c r="E490" s="6" t="inlineStr">
        <is>
          <t>No Critical Data</t>
        </is>
      </c>
      <c r="F490" s="12" t="inlineStr">
        <is>
          <t>PASS</t>
        </is>
      </c>
      <c r="G490" t="inlineStr">
        <is>
          <t>BIM-core.Criticality</t>
        </is>
      </c>
      <c r="H490" s="6" t="n"/>
    </row>
    <row r="491">
      <c r="A491" t="inlineStr">
        <is>
          <t>EQUIPMENT_TYPE</t>
        </is>
      </c>
      <c r="B491" t="inlineStr">
        <is>
          <t>Entity</t>
        </is>
      </c>
      <c r="C491" t="inlineStr">
        <is>
          <t>DataArea</t>
        </is>
      </c>
      <c r="D491" s="6" t="inlineStr">
        <is>
          <t>Equipment</t>
        </is>
      </c>
      <c r="E491" s="6" t="inlineStr">
        <is>
          <t>Equipment</t>
        </is>
      </c>
      <c r="F491" s="12" t="inlineStr">
        <is>
          <t>PASS</t>
        </is>
      </c>
      <c r="G491" t="inlineStr">
        <is>
          <t>BIM-core.DataArea</t>
        </is>
      </c>
      <c r="H491" s="6" t="n"/>
    </row>
    <row r="492">
      <c r="A492" t="inlineStr">
        <is>
          <t>EQUIPMENT_TYPE</t>
        </is>
      </c>
      <c r="B492" t="inlineStr">
        <is>
          <t>Entity</t>
        </is>
      </c>
      <c r="C492" t="inlineStr">
        <is>
          <t>DataCategory</t>
        </is>
      </c>
      <c r="D492" s="6" t="inlineStr">
        <is>
          <t>Structured</t>
        </is>
      </c>
      <c r="E492" s="6" t="inlineStr">
        <is>
          <t>Structured</t>
        </is>
      </c>
      <c r="F492" s="12" t="inlineStr">
        <is>
          <t>PASS</t>
        </is>
      </c>
      <c r="G492" t="inlineStr">
        <is>
          <t>BIM-core.DataCategory</t>
        </is>
      </c>
      <c r="H492" s="6" t="n"/>
    </row>
    <row r="493">
      <c r="A493" t="inlineStr">
        <is>
          <t>EQUIPMENT_TYPE</t>
        </is>
      </c>
      <c r="B493" t="inlineStr">
        <is>
          <t>Entity</t>
        </is>
      </c>
      <c r="C493" t="inlineStr">
        <is>
          <t>DataConfidentiality</t>
        </is>
      </c>
      <c r="D493" s="6" t="inlineStr">
        <is>
          <t>Internal</t>
        </is>
      </c>
      <c r="E493" s="6" t="inlineStr">
        <is>
          <t>Internal</t>
        </is>
      </c>
      <c r="F493" s="12" t="inlineStr">
        <is>
          <t>PASS</t>
        </is>
      </c>
      <c r="G493" t="inlineStr">
        <is>
          <t>BIM-core.DataConfidentiality</t>
        </is>
      </c>
      <c r="H493" s="6" t="n"/>
    </row>
    <row r="494">
      <c r="A494" t="inlineStr">
        <is>
          <t>EQUIPMENT_TYPE</t>
        </is>
      </c>
      <c r="B494" t="inlineStr">
        <is>
          <t>Entity</t>
        </is>
      </c>
      <c r="C494" t="inlineStr">
        <is>
          <t>DesignStatus</t>
        </is>
      </c>
      <c r="D494" s="6" t="inlineStr">
        <is>
          <t>Approved</t>
        </is>
      </c>
      <c r="E494" s="6" t="inlineStr">
        <is>
          <t>Approved</t>
        </is>
      </c>
      <c r="F494" s="12" t="inlineStr">
        <is>
          <t>PASS</t>
        </is>
      </c>
      <c r="G494" t="inlineStr">
        <is>
          <t>BIM-core.DesignStatus</t>
        </is>
      </c>
      <c r="H494" s="6" t="n"/>
    </row>
    <row r="495">
      <c r="A495" t="inlineStr">
        <is>
          <t>EQUIPMENT_TYPE</t>
        </is>
      </c>
      <c r="B495" t="inlineStr">
        <is>
          <t>Entity</t>
        </is>
      </c>
      <c r="C495" t="inlineStr">
        <is>
          <t>EntityCategory</t>
        </is>
      </c>
      <c r="D495" s="6" t="inlineStr">
        <is>
          <t>Internal Reference</t>
        </is>
      </c>
      <c r="E495" s="6" t="inlineStr">
        <is>
          <t>Internal Reference</t>
        </is>
      </c>
      <c r="F495" s="12" t="inlineStr">
        <is>
          <t>PASS</t>
        </is>
      </c>
      <c r="G495" t="inlineStr">
        <is>
          <t>BIM-core.EntityCategory</t>
        </is>
      </c>
      <c r="H495" s="6" t="n"/>
    </row>
    <row r="496">
      <c r="A496" t="inlineStr">
        <is>
          <t>EQUIPMENT_TYPE</t>
        </is>
      </c>
      <c r="B496" t="inlineStr">
        <is>
          <t>Entity</t>
        </is>
      </c>
      <c r="C496" t="inlineStr">
        <is>
          <t>EntityPersonalData</t>
        </is>
      </c>
      <c r="D496" s="6" t="inlineStr">
        <is>
          <t>No Personal Data</t>
        </is>
      </c>
      <c r="E496" s="6" t="inlineStr">
        <is>
          <t>No Personal Data</t>
        </is>
      </c>
      <c r="F496" s="12" t="inlineStr">
        <is>
          <t>PASS</t>
        </is>
      </c>
      <c r="G496" t="inlineStr">
        <is>
          <t>BIM-core.EntityPersonalData</t>
        </is>
      </c>
      <c r="H496" s="6" t="n"/>
    </row>
    <row r="497">
      <c r="A497" t="inlineStr">
        <is>
          <t>EQUIPMENT_TYPE</t>
        </is>
      </c>
      <c r="B497" t="inlineStr">
        <is>
          <t>Entity</t>
        </is>
      </c>
      <c r="C497" t="inlineStr">
        <is>
          <t>FinancialPersonalData</t>
        </is>
      </c>
      <c r="D497" s="6" t="inlineStr">
        <is>
          <t>No Financial Personal Data</t>
        </is>
      </c>
      <c r="E497" s="6" t="inlineStr">
        <is>
          <t>No Financial Personal Data</t>
        </is>
      </c>
      <c r="F497" s="12" t="inlineStr">
        <is>
          <t>PASS</t>
        </is>
      </c>
      <c r="G497" t="inlineStr">
        <is>
          <t>BIM-core.FinancialPersonalData</t>
        </is>
      </c>
      <c r="H497" s="6" t="n"/>
    </row>
    <row r="498">
      <c r="A498" t="inlineStr">
        <is>
          <t>EQUIPMENT_TYPE</t>
        </is>
      </c>
      <c r="B498" t="inlineStr">
        <is>
          <t>Entity</t>
        </is>
      </c>
      <c r="C498" t="inlineStr">
        <is>
          <t>MTED_Encryption_Required</t>
        </is>
      </c>
      <c r="D498" s="6" t="inlineStr">
        <is>
          <t>false</t>
        </is>
      </c>
      <c r="E498" s="6" t="inlineStr">
        <is>
          <t>false</t>
        </is>
      </c>
      <c r="F498" s="12" t="inlineStr">
        <is>
          <t>PASS</t>
        </is>
      </c>
      <c r="G498" t="inlineStr">
        <is>
          <t>SHL_LDM_EntityPropertyExtension.MTED_Encryption_Required</t>
        </is>
      </c>
      <c r="H498" s="6" t="n"/>
    </row>
    <row r="499">
      <c r="A499" t="inlineStr">
        <is>
          <t>EQUIPMENT_TYPE</t>
        </is>
      </c>
      <c r="B499" t="inlineStr">
        <is>
          <t>Entity</t>
        </is>
      </c>
      <c r="C499" t="inlineStr">
        <is>
          <t>MappingLevel</t>
        </is>
      </c>
      <c r="D499" s="6" t="inlineStr">
        <is>
          <t>BLM</t>
        </is>
      </c>
      <c r="E499" s="6" t="inlineStr">
        <is>
          <t>BLM</t>
        </is>
      </c>
      <c r="F499" s="12" t="inlineStr">
        <is>
          <t>PASS</t>
        </is>
      </c>
      <c r="G499" t="inlineStr">
        <is>
          <t>BIM-core.MappingLevel</t>
        </is>
      </c>
      <c r="H499" s="6" t="n"/>
    </row>
    <row r="500">
      <c r="A500" t="inlineStr">
        <is>
          <t>EQUIPMENT_TYPE</t>
        </is>
      </c>
      <c r="B500" t="inlineStr">
        <is>
          <t>Entity</t>
        </is>
      </c>
      <c r="C500" t="inlineStr">
        <is>
          <t>MapsToEntity</t>
        </is>
      </c>
      <c r="D500" s="6" t="inlineStr">
        <is>
          <t>EQUIPMENT</t>
        </is>
      </c>
      <c r="E500" s="6" t="inlineStr">
        <is>
          <t>EQUIPMENT</t>
        </is>
      </c>
      <c r="F500" s="12" t="inlineStr">
        <is>
          <t>PASS</t>
        </is>
      </c>
      <c r="G500" t="inlineStr">
        <is>
          <t>BIM-core.MapsToEntity</t>
        </is>
      </c>
      <c r="H500" s="6" t="n"/>
    </row>
    <row r="501">
      <c r="A501" t="inlineStr">
        <is>
          <t>EQUIPMENT_TYPE</t>
        </is>
      </c>
      <c r="B501" t="inlineStr">
        <is>
          <t>Entity</t>
        </is>
      </c>
      <c r="C501" t="inlineStr">
        <is>
          <t>PD_ObjectID</t>
        </is>
      </c>
      <c r="D501" s="6" t="inlineStr">
        <is>
          <t>4E60AB68-BA2E-4BAA-A925-78ED3362DA16</t>
        </is>
      </c>
      <c r="E501" s="6" t="inlineStr">
        <is>
          <t>4E60AB68-BA2E-4BAA-A925-78ED3362DA16</t>
        </is>
      </c>
      <c r="F501" s="12" t="inlineStr">
        <is>
          <t>PASS</t>
        </is>
      </c>
      <c r="H501" s="6" t="n"/>
    </row>
    <row r="502">
      <c r="A502" t="inlineStr">
        <is>
          <t>EQUIPMENT_TYPE</t>
        </is>
      </c>
      <c r="B502" t="inlineStr">
        <is>
          <t>Entity</t>
        </is>
      </c>
      <c r="C502" t="inlineStr">
        <is>
          <t>PD_SourceExtraction</t>
        </is>
      </c>
      <c r="D502" s="6" t="inlineStr">
        <is>
          <t>46603045</t>
        </is>
      </c>
      <c r="E502" s="6" t="inlineStr">
        <is>
          <t>46603045</t>
        </is>
      </c>
      <c r="F502" s="12" t="inlineStr">
        <is>
          <t>PASS</t>
        </is>
      </c>
      <c r="H502" s="6" t="n"/>
    </row>
    <row r="503">
      <c r="A503" t="inlineStr">
        <is>
          <t>EQUIPMENT_TYPE</t>
        </is>
      </c>
      <c r="B503" t="inlineStr">
        <is>
          <t>Entity</t>
        </is>
      </c>
      <c r="C503" t="inlineStr">
        <is>
          <t>PD_SourceModel</t>
        </is>
      </c>
      <c r="D503" s="6" t="inlineStr">
        <is>
          <t>05_Carbon_Calculator</t>
        </is>
      </c>
      <c r="E503" s="6" t="inlineStr">
        <is>
          <t>05_Carbon_Calculator</t>
        </is>
      </c>
      <c r="F503" s="12" t="inlineStr">
        <is>
          <t>PASS</t>
        </is>
      </c>
      <c r="H503" s="6" t="n"/>
    </row>
    <row r="504">
      <c r="A504" t="inlineStr">
        <is>
          <t>EQUIPMENT_TYPE</t>
        </is>
      </c>
      <c r="B504" t="inlineStr">
        <is>
          <t>Entity</t>
        </is>
      </c>
      <c r="C504" t="inlineStr">
        <is>
          <t>SensitivePersonalData</t>
        </is>
      </c>
      <c r="D504" s="6" t="inlineStr">
        <is>
          <t>No Sensitive Personal Data</t>
        </is>
      </c>
      <c r="E504" s="6" t="inlineStr">
        <is>
          <t>No Sensitive Personal Data</t>
        </is>
      </c>
      <c r="F504" s="12" t="inlineStr">
        <is>
          <t>PASS</t>
        </is>
      </c>
      <c r="G504" t="inlineStr">
        <is>
          <t>BIM-core.SensitivePersonalData</t>
        </is>
      </c>
      <c r="H504" s="6" t="n"/>
    </row>
    <row r="505">
      <c r="A505" t="inlineStr">
        <is>
          <t>FACTOR_GROUP</t>
        </is>
      </c>
      <c r="B505" t="inlineStr">
        <is>
          <t>Entity</t>
        </is>
      </c>
      <c r="C505" t="inlineStr">
        <is>
          <t>CommerciallySensitiveInformation</t>
        </is>
      </c>
      <c r="D505" s="6" t="inlineStr">
        <is>
          <t>No Commercially Sensitive Information</t>
        </is>
      </c>
      <c r="E505" s="6" t="inlineStr">
        <is>
          <t>No Commercially Sensitive Information</t>
        </is>
      </c>
      <c r="F505" s="12" t="inlineStr">
        <is>
          <t>PASS</t>
        </is>
      </c>
      <c r="G505" t="inlineStr">
        <is>
          <t>BIM-core.CommerciallySensitiveInformation</t>
        </is>
      </c>
      <c r="H505" s="6" t="n"/>
    </row>
    <row r="506">
      <c r="A506" t="inlineStr">
        <is>
          <t>FACTOR_GROUP</t>
        </is>
      </c>
      <c r="B506" t="inlineStr">
        <is>
          <t>Entity</t>
        </is>
      </c>
      <c r="C506" t="inlineStr">
        <is>
          <t>Criticality</t>
        </is>
      </c>
      <c r="D506" s="6" t="inlineStr">
        <is>
          <t>No Critical Data</t>
        </is>
      </c>
      <c r="E506" s="6" t="inlineStr">
        <is>
          <t>No Critical Data</t>
        </is>
      </c>
      <c r="F506" s="12" t="inlineStr">
        <is>
          <t>PASS</t>
        </is>
      </c>
      <c r="G506" t="inlineStr">
        <is>
          <t>BIM-core.Criticality</t>
        </is>
      </c>
      <c r="H506" s="6" t="n"/>
    </row>
    <row r="507">
      <c r="A507" t="inlineStr">
        <is>
          <t>FACTOR_GROUP</t>
        </is>
      </c>
      <c r="B507" t="inlineStr">
        <is>
          <t>Entity</t>
        </is>
      </c>
      <c r="C507" t="inlineStr">
        <is>
          <t>DataCategory</t>
        </is>
      </c>
      <c r="D507" s="6" t="inlineStr">
        <is>
          <t>Structured</t>
        </is>
      </c>
      <c r="E507" s="6" t="inlineStr">
        <is>
          <t>Structured</t>
        </is>
      </c>
      <c r="F507" s="12" t="inlineStr">
        <is>
          <t>PASS</t>
        </is>
      </c>
      <c r="G507" t="inlineStr">
        <is>
          <t>BIM-core.DataCategory</t>
        </is>
      </c>
      <c r="H507" s="6" t="n"/>
    </row>
    <row r="508">
      <c r="A508" t="inlineStr">
        <is>
          <t>FACTOR_GROUP</t>
        </is>
      </c>
      <c r="B508" t="inlineStr">
        <is>
          <t>Entity</t>
        </is>
      </c>
      <c r="C508" t="inlineStr">
        <is>
          <t>DataConfidentiality</t>
        </is>
      </c>
      <c r="D508" s="6" t="inlineStr">
        <is>
          <t>Internal</t>
        </is>
      </c>
      <c r="E508" s="6" t="inlineStr">
        <is>
          <t>Internal</t>
        </is>
      </c>
      <c r="F508" s="12" t="inlineStr">
        <is>
          <t>PASS</t>
        </is>
      </c>
      <c r="G508" t="inlineStr">
        <is>
          <t>BIM-core.DataConfidentiality</t>
        </is>
      </c>
      <c r="H508" s="6" t="n"/>
    </row>
    <row r="509">
      <c r="A509" t="inlineStr">
        <is>
          <t>FACTOR_GROUP</t>
        </is>
      </c>
      <c r="B509" t="inlineStr">
        <is>
          <t>Entity</t>
        </is>
      </c>
      <c r="C509" t="inlineStr">
        <is>
          <t>DesignStatus</t>
        </is>
      </c>
      <c r="D509" s="6" t="inlineStr">
        <is>
          <t>Approved</t>
        </is>
      </c>
      <c r="E509" s="6" t="inlineStr">
        <is>
          <t>Approved</t>
        </is>
      </c>
      <c r="F509" s="12" t="inlineStr">
        <is>
          <t>PASS</t>
        </is>
      </c>
      <c r="G509" t="inlineStr">
        <is>
          <t>BIM-core.DesignStatus</t>
        </is>
      </c>
      <c r="H509" s="6" t="n"/>
    </row>
    <row r="510">
      <c r="A510" t="inlineStr">
        <is>
          <t>FACTOR_GROUP</t>
        </is>
      </c>
      <c r="B510" t="inlineStr">
        <is>
          <t>Entity</t>
        </is>
      </c>
      <c r="C510" t="inlineStr">
        <is>
          <t>EntityCategory</t>
        </is>
      </c>
      <c r="D510" s="6" t="inlineStr">
        <is>
          <t>Master</t>
        </is>
      </c>
      <c r="E510" s="6" t="inlineStr">
        <is>
          <t>Master</t>
        </is>
      </c>
      <c r="F510" s="12" t="inlineStr">
        <is>
          <t>PASS</t>
        </is>
      </c>
      <c r="G510" t="inlineStr">
        <is>
          <t>BIM-core.EntityCategory</t>
        </is>
      </c>
      <c r="H510" s="6" t="n"/>
    </row>
    <row r="511">
      <c r="A511" t="inlineStr">
        <is>
          <t>FACTOR_GROUP</t>
        </is>
      </c>
      <c r="B511" t="inlineStr">
        <is>
          <t>Entity</t>
        </is>
      </c>
      <c r="C511" t="inlineStr">
        <is>
          <t>EntityPersonalData</t>
        </is>
      </c>
      <c r="D511" s="6" t="inlineStr">
        <is>
          <t>No Personal Data</t>
        </is>
      </c>
      <c r="E511" s="6" t="inlineStr">
        <is>
          <t>No Personal Data</t>
        </is>
      </c>
      <c r="F511" s="12" t="inlineStr">
        <is>
          <t>PASS</t>
        </is>
      </c>
      <c r="G511" t="inlineStr">
        <is>
          <t>BIM-core.EntityPersonalData</t>
        </is>
      </c>
      <c r="H511" s="6" t="n"/>
    </row>
    <row r="512">
      <c r="A512" t="inlineStr">
        <is>
          <t>FACTOR_GROUP</t>
        </is>
      </c>
      <c r="B512" t="inlineStr">
        <is>
          <t>Entity</t>
        </is>
      </c>
      <c r="C512" t="inlineStr">
        <is>
          <t>FinancialPersonalData</t>
        </is>
      </c>
      <c r="D512" s="6" t="inlineStr">
        <is>
          <t>No Financial Personal Data</t>
        </is>
      </c>
      <c r="E512" s="6" t="inlineStr">
        <is>
          <t>No Financial Personal Data</t>
        </is>
      </c>
      <c r="F512" s="12" t="inlineStr">
        <is>
          <t>PASS</t>
        </is>
      </c>
      <c r="G512" t="inlineStr">
        <is>
          <t>BIM-core.FinancialPersonalData</t>
        </is>
      </c>
      <c r="H512" s="6" t="n"/>
    </row>
    <row r="513">
      <c r="A513" t="inlineStr">
        <is>
          <t>FACTOR_GROUP</t>
        </is>
      </c>
      <c r="B513" t="inlineStr">
        <is>
          <t>Entity</t>
        </is>
      </c>
      <c r="C513" t="inlineStr">
        <is>
          <t>MTED_EDaM_Mapping_Note</t>
        </is>
      </c>
      <c r="D513" s="6" t="inlineStr">
        <is>
          <t>{\rtf1\ansi\ansicpg1252\deff0\nouicompat\deflang2057{\fonttbl{\f0\fnil\fcharset0 Times New Roman;}}</t>
        </is>
      </c>
      <c r="E513" s="6" t="inlineStr">
        <is>
          <t>{\rtf1\ansi\ansicpg1252\deff0\nouicompat\deflang2057{\fonttbl{\f0\fnil\fcharset0 Times New Roman;}}</t>
        </is>
      </c>
      <c r="F513" s="12" t="inlineStr">
        <is>
          <t>PASS</t>
        </is>
      </c>
      <c r="G513" t="inlineStr">
        <is>
          <t>BIM-core.MTED_EDaM_Mapping_Note</t>
        </is>
      </c>
      <c r="H513" s="6" t="n"/>
    </row>
    <row r="514">
      <c r="A514" t="inlineStr">
        <is>
          <t>FACTOR_GROUP</t>
        </is>
      </c>
      <c r="B514" t="inlineStr">
        <is>
          <t>Entity</t>
        </is>
      </c>
      <c r="C514" t="inlineStr">
        <is>
          <t>MappingLevel</t>
        </is>
      </c>
      <c r="D514" s="6" t="inlineStr">
        <is>
          <t>Application Specific</t>
        </is>
      </c>
      <c r="E514" s="6" t="inlineStr">
        <is>
          <t>Application Specific</t>
        </is>
      </c>
      <c r="F514" s="12" t="inlineStr">
        <is>
          <t>PASS</t>
        </is>
      </c>
      <c r="G514" t="inlineStr">
        <is>
          <t>BIM-core.MappingLevel</t>
        </is>
      </c>
      <c r="H514" s="6" t="n"/>
    </row>
    <row r="515">
      <c r="A515" t="inlineStr">
        <is>
          <t>FACTOR_GROUP</t>
        </is>
      </c>
      <c r="B515" t="inlineStr">
        <is>
          <t>Entity</t>
        </is>
      </c>
      <c r="C515" t="inlineStr">
        <is>
          <t>PD_ObjectID</t>
        </is>
      </c>
      <c r="D515" s="6" t="inlineStr">
        <is>
          <t>E0BD2AD4-8123-46B2-9470-E30A412E1B62</t>
        </is>
      </c>
      <c r="E515" s="6" t="inlineStr">
        <is>
          <t>E0BD2AD4-8123-46B2-9470-E30A412E1B62</t>
        </is>
      </c>
      <c r="F515" s="12" t="inlineStr">
        <is>
          <t>PASS</t>
        </is>
      </c>
      <c r="H515" s="6" t="n"/>
    </row>
    <row r="516">
      <c r="A516" t="inlineStr">
        <is>
          <t>FACTOR_GROUP</t>
        </is>
      </c>
      <c r="B516" t="inlineStr">
        <is>
          <t>Entity</t>
        </is>
      </c>
      <c r="C516" t="inlineStr">
        <is>
          <t>PD_SourceExtraction</t>
        </is>
      </c>
      <c r="D516" s="6" t="inlineStr">
        <is>
          <t>46603045</t>
        </is>
      </c>
      <c r="E516" s="6" t="inlineStr">
        <is>
          <t>46603045</t>
        </is>
      </c>
      <c r="F516" s="12" t="inlineStr">
        <is>
          <t>PASS</t>
        </is>
      </c>
      <c r="H516" s="6" t="n"/>
    </row>
    <row r="517">
      <c r="A517" t="inlineStr">
        <is>
          <t>FACTOR_GROUP</t>
        </is>
      </c>
      <c r="B517" t="inlineStr">
        <is>
          <t>Entity</t>
        </is>
      </c>
      <c r="C517" t="inlineStr">
        <is>
          <t>PD_SourceModel</t>
        </is>
      </c>
      <c r="D517" s="6" t="inlineStr">
        <is>
          <t>05_Carbon_Calculator</t>
        </is>
      </c>
      <c r="E517" s="6" t="inlineStr">
        <is>
          <t>05_Carbon_Calculator</t>
        </is>
      </c>
      <c r="F517" s="12" t="inlineStr">
        <is>
          <t>PASS</t>
        </is>
      </c>
      <c r="H517" s="6" t="n"/>
    </row>
    <row r="518">
      <c r="A518" t="inlineStr">
        <is>
          <t>FACTOR_GROUP</t>
        </is>
      </c>
      <c r="B518" t="inlineStr">
        <is>
          <t>Entity</t>
        </is>
      </c>
      <c r="C518" t="inlineStr">
        <is>
          <t>SensitivePersonalData</t>
        </is>
      </c>
      <c r="D518" s="6" t="inlineStr">
        <is>
          <t>No Sensitive Personal Data</t>
        </is>
      </c>
      <c r="E518" s="6" t="inlineStr">
        <is>
          <t>No Sensitive Personal Data</t>
        </is>
      </c>
      <c r="F518" s="12" t="inlineStr">
        <is>
          <t>PASS</t>
        </is>
      </c>
      <c r="G518" t="inlineStr">
        <is>
          <t>BIM-core.SensitivePersonalData</t>
        </is>
      </c>
      <c r="H518" s="6" t="n"/>
    </row>
    <row r="519">
      <c r="A519" t="inlineStr">
        <is>
          <t>FACTOR_PUBLICATION_COMPOSITION</t>
        </is>
      </c>
      <c r="B519" t="inlineStr">
        <is>
          <t>Entity</t>
        </is>
      </c>
      <c r="C519" t="inlineStr">
        <is>
          <t>CommerciallySensitiveInformation</t>
        </is>
      </c>
      <c r="D519" s="6" t="inlineStr">
        <is>
          <t>No Commercially Sensitive Information</t>
        </is>
      </c>
      <c r="E519" s="6" t="inlineStr">
        <is>
          <t>No Commercially Sensitive Information</t>
        </is>
      </c>
      <c r="F519" s="12" t="inlineStr">
        <is>
          <t>PASS</t>
        </is>
      </c>
      <c r="G519" t="inlineStr">
        <is>
          <t>BIM-core.CommerciallySensitiveInformation</t>
        </is>
      </c>
      <c r="H519" s="6" t="n"/>
    </row>
    <row r="520">
      <c r="A520" t="inlineStr">
        <is>
          <t>FACTOR_PUBLICATION_COMPOSITION</t>
        </is>
      </c>
      <c r="B520" t="inlineStr">
        <is>
          <t>Entity</t>
        </is>
      </c>
      <c r="C520" t="inlineStr">
        <is>
          <t>Criticality</t>
        </is>
      </c>
      <c r="D520" s="6" t="inlineStr">
        <is>
          <t>No Critical Data</t>
        </is>
      </c>
      <c r="E520" s="6" t="inlineStr">
        <is>
          <t>No Critical Data</t>
        </is>
      </c>
      <c r="F520" s="12" t="inlineStr">
        <is>
          <t>PASS</t>
        </is>
      </c>
      <c r="G520" t="inlineStr">
        <is>
          <t>BIM-core.Criticality</t>
        </is>
      </c>
      <c r="H520" s="6" t="n"/>
    </row>
    <row r="521">
      <c r="A521" t="inlineStr">
        <is>
          <t>FACTOR_PUBLICATION_COMPOSITION</t>
        </is>
      </c>
      <c r="B521" t="inlineStr">
        <is>
          <t>Entity</t>
        </is>
      </c>
      <c r="C521" t="inlineStr">
        <is>
          <t>DataCategory</t>
        </is>
      </c>
      <c r="D521" s="6" t="inlineStr">
        <is>
          <t>Structured</t>
        </is>
      </c>
      <c r="E521" s="6" t="inlineStr">
        <is>
          <t>Structured</t>
        </is>
      </c>
      <c r="F521" s="12" t="inlineStr">
        <is>
          <t>PASS</t>
        </is>
      </c>
      <c r="G521" t="inlineStr">
        <is>
          <t>BIM-core.DataCategory</t>
        </is>
      </c>
      <c r="H521" s="6" t="n"/>
    </row>
    <row r="522">
      <c r="A522" t="inlineStr">
        <is>
          <t>FACTOR_PUBLICATION_COMPOSITION</t>
        </is>
      </c>
      <c r="B522" t="inlineStr">
        <is>
          <t>Entity</t>
        </is>
      </c>
      <c r="C522" t="inlineStr">
        <is>
          <t>DataConfidentiality</t>
        </is>
      </c>
      <c r="D522" s="6" t="inlineStr">
        <is>
          <t>Internal</t>
        </is>
      </c>
      <c r="E522" s="6" t="inlineStr">
        <is>
          <t>Internal</t>
        </is>
      </c>
      <c r="F522" s="12" t="inlineStr">
        <is>
          <t>PASS</t>
        </is>
      </c>
      <c r="G522" t="inlineStr">
        <is>
          <t>BIM-core.DataConfidentiality</t>
        </is>
      </c>
      <c r="H522" s="6" t="n"/>
    </row>
    <row r="523">
      <c r="A523" t="inlineStr">
        <is>
          <t>FACTOR_PUBLICATION_COMPOSITION</t>
        </is>
      </c>
      <c r="B523" t="inlineStr">
        <is>
          <t>Entity</t>
        </is>
      </c>
      <c r="C523" t="inlineStr">
        <is>
          <t>DesignStatus</t>
        </is>
      </c>
      <c r="D523" s="6" t="inlineStr">
        <is>
          <t>Approved</t>
        </is>
      </c>
      <c r="E523" s="6" t="inlineStr">
        <is>
          <t>Approved</t>
        </is>
      </c>
      <c r="F523" s="12" t="inlineStr">
        <is>
          <t>PASS</t>
        </is>
      </c>
      <c r="G523" t="inlineStr">
        <is>
          <t>BIM-core.DesignStatus</t>
        </is>
      </c>
      <c r="H523" s="6" t="n"/>
    </row>
    <row r="524">
      <c r="A524" t="inlineStr">
        <is>
          <t>FACTOR_PUBLICATION_COMPOSITION</t>
        </is>
      </c>
      <c r="B524" t="inlineStr">
        <is>
          <t>Entity</t>
        </is>
      </c>
      <c r="C524" t="inlineStr">
        <is>
          <t>EntityCategory</t>
        </is>
      </c>
      <c r="D524" s="6" t="inlineStr">
        <is>
          <t>Master</t>
        </is>
      </c>
      <c r="E524" s="6" t="inlineStr">
        <is>
          <t>Master</t>
        </is>
      </c>
      <c r="F524" s="12" t="inlineStr">
        <is>
          <t>PASS</t>
        </is>
      </c>
      <c r="G524" t="inlineStr">
        <is>
          <t>BIM-core.EntityCategory</t>
        </is>
      </c>
      <c r="H524" s="6" t="n"/>
    </row>
    <row r="525">
      <c r="A525" t="inlineStr">
        <is>
          <t>FACTOR_PUBLICATION_COMPOSITION</t>
        </is>
      </c>
      <c r="B525" t="inlineStr">
        <is>
          <t>Entity</t>
        </is>
      </c>
      <c r="C525" t="inlineStr">
        <is>
          <t>EntityPersonalData</t>
        </is>
      </c>
      <c r="D525" s="6" t="inlineStr">
        <is>
          <t>No Personal Data</t>
        </is>
      </c>
      <c r="E525" s="6" t="inlineStr">
        <is>
          <t>No Personal Data</t>
        </is>
      </c>
      <c r="F525" s="12" t="inlineStr">
        <is>
          <t>PASS</t>
        </is>
      </c>
      <c r="G525" t="inlineStr">
        <is>
          <t>BIM-core.EntityPersonalData</t>
        </is>
      </c>
      <c r="H525" s="6" t="n"/>
    </row>
    <row r="526">
      <c r="A526" t="inlineStr">
        <is>
          <t>FACTOR_PUBLICATION_COMPOSITION</t>
        </is>
      </c>
      <c r="B526" t="inlineStr">
        <is>
          <t>Entity</t>
        </is>
      </c>
      <c r="C526" t="inlineStr">
        <is>
          <t>FinancialPersonalData</t>
        </is>
      </c>
      <c r="D526" s="6" t="inlineStr">
        <is>
          <t>No Financial Personal Data</t>
        </is>
      </c>
      <c r="E526" s="6" t="inlineStr">
        <is>
          <t>No Financial Personal Data</t>
        </is>
      </c>
      <c r="F526" s="12" t="inlineStr">
        <is>
          <t>PASS</t>
        </is>
      </c>
      <c r="G526" t="inlineStr">
        <is>
          <t>BIM-core.FinancialPersonalData</t>
        </is>
      </c>
      <c r="H526" s="6" t="n"/>
    </row>
    <row r="527">
      <c r="A527" t="inlineStr">
        <is>
          <t>FACTOR_PUBLICATION_COMPOSITION</t>
        </is>
      </c>
      <c r="B527" t="inlineStr">
        <is>
          <t>Entity</t>
        </is>
      </c>
      <c r="C527" t="inlineStr">
        <is>
          <t>MTED_EDaM_Mapping_Note</t>
        </is>
      </c>
      <c r="D527" s="6" t="inlineStr">
        <is>
          <t>{\rtf1\ansi\ansicpg1252\deff0\nouicompat\deflang2057{\fonttbl{\f0\fnil\fcharset0 Times New Roman;}}</t>
        </is>
      </c>
      <c r="E527" s="6" t="inlineStr">
        <is>
          <t>{\rtf1\ansi\ansicpg1252\deff0\nouicompat\deflang2057{\fonttbl{\f0\fnil\fcharset0 Times New Roman;}}</t>
        </is>
      </c>
      <c r="F527" s="12" t="inlineStr">
        <is>
          <t>PASS</t>
        </is>
      </c>
      <c r="G527" t="inlineStr">
        <is>
          <t>BIM-core.MTED_EDaM_Mapping_Note</t>
        </is>
      </c>
      <c r="H527" s="6" t="n"/>
    </row>
    <row r="528">
      <c r="A528" t="inlineStr">
        <is>
          <t>FACTOR_PUBLICATION_COMPOSITION</t>
        </is>
      </c>
      <c r="B528" t="inlineStr">
        <is>
          <t>Entity</t>
        </is>
      </c>
      <c r="C528" t="inlineStr">
        <is>
          <t>PD_ObjectID</t>
        </is>
      </c>
      <c r="D528" s="6" t="inlineStr">
        <is>
          <t>D496D984-4C1F-4FCC-BED2-2123EA38FD66</t>
        </is>
      </c>
      <c r="E528" s="6" t="inlineStr">
        <is>
          <t>D496D984-4C1F-4FCC-BED2-2123EA38FD66</t>
        </is>
      </c>
      <c r="F528" s="12" t="inlineStr">
        <is>
          <t>PASS</t>
        </is>
      </c>
      <c r="H528" s="6" t="n"/>
    </row>
    <row r="529">
      <c r="A529" t="inlineStr">
        <is>
          <t>FACTOR_PUBLICATION_COMPOSITION</t>
        </is>
      </c>
      <c r="B529" t="inlineStr">
        <is>
          <t>Entity</t>
        </is>
      </c>
      <c r="C529" t="inlineStr">
        <is>
          <t>PD_SourceExtraction</t>
        </is>
      </c>
      <c r="D529" s="6" t="inlineStr">
        <is>
          <t>46603045</t>
        </is>
      </c>
      <c r="E529" s="6" t="inlineStr">
        <is>
          <t>46603045</t>
        </is>
      </c>
      <c r="F529" s="12" t="inlineStr">
        <is>
          <t>PASS</t>
        </is>
      </c>
      <c r="H529" s="6" t="n"/>
    </row>
    <row r="530">
      <c r="A530" t="inlineStr">
        <is>
          <t>FACTOR_PUBLICATION_COMPOSITION</t>
        </is>
      </c>
      <c r="B530" t="inlineStr">
        <is>
          <t>Entity</t>
        </is>
      </c>
      <c r="C530" t="inlineStr">
        <is>
          <t>PD_SourceModel</t>
        </is>
      </c>
      <c r="D530" s="6" t="inlineStr">
        <is>
          <t>05_Carbon_Calculator</t>
        </is>
      </c>
      <c r="E530" s="6" t="inlineStr">
        <is>
          <t>05_Carbon_Calculator</t>
        </is>
      </c>
      <c r="F530" s="12" t="inlineStr">
        <is>
          <t>PASS</t>
        </is>
      </c>
      <c r="H530" s="6" t="n"/>
    </row>
    <row r="531">
      <c r="A531" t="inlineStr">
        <is>
          <t>FACTOR_PUBLICATION_COMPOSITION</t>
        </is>
      </c>
      <c r="B531" t="inlineStr">
        <is>
          <t>Entity</t>
        </is>
      </c>
      <c r="C531" t="inlineStr">
        <is>
          <t>SensitivePersonalData</t>
        </is>
      </c>
      <c r="D531" s="6" t="inlineStr">
        <is>
          <t>No Sensitive Personal Data</t>
        </is>
      </c>
      <c r="E531" s="6" t="inlineStr">
        <is>
          <t>No Sensitive Personal Data</t>
        </is>
      </c>
      <c r="F531" s="12" t="inlineStr">
        <is>
          <t>PASS</t>
        </is>
      </c>
      <c r="G531" t="inlineStr">
        <is>
          <t>BIM-core.SensitivePersonalData</t>
        </is>
      </c>
      <c r="H531" s="6" t="n"/>
    </row>
    <row r="532">
      <c r="A532" t="inlineStr">
        <is>
          <t>FACTOR_PUBLISHER</t>
        </is>
      </c>
      <c r="B532" t="inlineStr">
        <is>
          <t>Entity</t>
        </is>
      </c>
      <c r="C532" t="inlineStr">
        <is>
          <t>CSI</t>
        </is>
      </c>
      <c r="D532" s="6" t="inlineStr">
        <is>
          <t>false</t>
        </is>
      </c>
      <c r="E532" s="6" t="inlineStr">
        <is>
          <t>false</t>
        </is>
      </c>
      <c r="F532" s="12" t="inlineStr">
        <is>
          <t>PASS</t>
        </is>
      </c>
      <c r="G532" t="inlineStr">
        <is>
          <t>SHL_LDM_EntityPropertyExtension.CSI</t>
        </is>
      </c>
      <c r="H532" s="6" t="n"/>
    </row>
    <row r="533">
      <c r="A533" t="inlineStr">
        <is>
          <t>FACTOR_PUBLISHER</t>
        </is>
      </c>
      <c r="B533" t="inlineStr">
        <is>
          <t>Entity</t>
        </is>
      </c>
      <c r="C533" t="inlineStr">
        <is>
          <t>CommerciallySensitiveInformation</t>
        </is>
      </c>
      <c r="D533" s="6" t="inlineStr">
        <is>
          <t>No Commercially Sensitive Information</t>
        </is>
      </c>
      <c r="E533" s="6" t="inlineStr">
        <is>
          <t>No Commercially Sensitive Information</t>
        </is>
      </c>
      <c r="F533" s="12" t="inlineStr">
        <is>
          <t>PASS</t>
        </is>
      </c>
      <c r="G533" t="inlineStr">
        <is>
          <t>BIM-core.CommerciallySensitiveInformation</t>
        </is>
      </c>
      <c r="H533" s="6" t="n"/>
    </row>
    <row r="534">
      <c r="A534" t="inlineStr">
        <is>
          <t>FACTOR_PUBLISHER</t>
        </is>
      </c>
      <c r="B534" t="inlineStr">
        <is>
          <t>Entity</t>
        </is>
      </c>
      <c r="C534" t="inlineStr">
        <is>
          <t>Criticality</t>
        </is>
      </c>
      <c r="D534" s="6" t="inlineStr">
        <is>
          <t>No Critical Data</t>
        </is>
      </c>
      <c r="E534" s="6" t="inlineStr">
        <is>
          <t>No Critical Data</t>
        </is>
      </c>
      <c r="F534" s="12" t="inlineStr">
        <is>
          <t>PASS</t>
        </is>
      </c>
      <c r="G534" t="inlineStr">
        <is>
          <t>BIM-core.Criticality</t>
        </is>
      </c>
      <c r="H534" s="6" t="n"/>
    </row>
    <row r="535">
      <c r="A535" t="inlineStr">
        <is>
          <t>FACTOR_PUBLISHER</t>
        </is>
      </c>
      <c r="B535" t="inlineStr">
        <is>
          <t>Entity</t>
        </is>
      </c>
      <c r="C535" t="inlineStr">
        <is>
          <t>DataCategory</t>
        </is>
      </c>
      <c r="D535" s="6" t="inlineStr">
        <is>
          <t>Structured</t>
        </is>
      </c>
      <c r="E535" s="6" t="inlineStr">
        <is>
          <t>Structured</t>
        </is>
      </c>
      <c r="F535" s="12" t="inlineStr">
        <is>
          <t>PASS</t>
        </is>
      </c>
      <c r="G535" t="inlineStr">
        <is>
          <t>BIM-core.DataCategory</t>
        </is>
      </c>
      <c r="H535" s="6" t="n"/>
    </row>
    <row r="536">
      <c r="A536" t="inlineStr">
        <is>
          <t>FACTOR_PUBLISHER</t>
        </is>
      </c>
      <c r="B536" t="inlineStr">
        <is>
          <t>Entity</t>
        </is>
      </c>
      <c r="C536" t="inlineStr">
        <is>
          <t>DataConfidentiality</t>
        </is>
      </c>
      <c r="D536" s="6" t="inlineStr">
        <is>
          <t>Internal</t>
        </is>
      </c>
      <c r="E536" s="6" t="inlineStr">
        <is>
          <t>Internal</t>
        </is>
      </c>
      <c r="F536" s="12" t="inlineStr">
        <is>
          <t>PASS</t>
        </is>
      </c>
      <c r="G536" t="inlineStr">
        <is>
          <t>BIM-core.DataConfidentiality</t>
        </is>
      </c>
      <c r="H536" s="6" t="n"/>
    </row>
    <row r="537">
      <c r="A537" t="inlineStr">
        <is>
          <t>FACTOR_PUBLISHER</t>
        </is>
      </c>
      <c r="B537" t="inlineStr">
        <is>
          <t>Entity</t>
        </is>
      </c>
      <c r="C537" t="inlineStr">
        <is>
          <t>DesignStatus</t>
        </is>
      </c>
      <c r="D537" s="6" t="inlineStr">
        <is>
          <t>Approved</t>
        </is>
      </c>
      <c r="E537" s="6" t="inlineStr">
        <is>
          <t>Approved</t>
        </is>
      </c>
      <c r="F537" s="12" t="inlineStr">
        <is>
          <t>PASS</t>
        </is>
      </c>
      <c r="G537" t="inlineStr">
        <is>
          <t>BIM-core.DesignStatus</t>
        </is>
      </c>
      <c r="H537" s="6" t="n"/>
    </row>
    <row r="538">
      <c r="A538" t="inlineStr">
        <is>
          <t>FACTOR_PUBLISHER</t>
        </is>
      </c>
      <c r="B538" t="inlineStr">
        <is>
          <t>Entity</t>
        </is>
      </c>
      <c r="C538" t="inlineStr">
        <is>
          <t>EntityCategory</t>
        </is>
      </c>
      <c r="D538" s="6" t="inlineStr">
        <is>
          <t>Master</t>
        </is>
      </c>
      <c r="E538" s="6" t="inlineStr">
        <is>
          <t>Master</t>
        </is>
      </c>
      <c r="F538" s="12" t="inlineStr">
        <is>
          <t>PASS</t>
        </is>
      </c>
      <c r="G538" t="inlineStr">
        <is>
          <t>BIM-core.EntityCategory</t>
        </is>
      </c>
      <c r="H538" s="6" t="n"/>
    </row>
    <row r="539">
      <c r="A539" t="inlineStr">
        <is>
          <t>FACTOR_PUBLISHER</t>
        </is>
      </c>
      <c r="B539" t="inlineStr">
        <is>
          <t>Entity</t>
        </is>
      </c>
      <c r="C539" t="inlineStr">
        <is>
          <t>EntityPersonalData</t>
        </is>
      </c>
      <c r="D539" s="6" t="inlineStr">
        <is>
          <t>No Personal Data</t>
        </is>
      </c>
      <c r="E539" s="6" t="inlineStr">
        <is>
          <t>No Personal Data</t>
        </is>
      </c>
      <c r="F539" s="12" t="inlineStr">
        <is>
          <t>PASS</t>
        </is>
      </c>
      <c r="G539" t="inlineStr">
        <is>
          <t>BIM-core.EntityPersonalData</t>
        </is>
      </c>
      <c r="H539" s="6" t="n"/>
    </row>
    <row r="540">
      <c r="A540" t="inlineStr">
        <is>
          <t>FACTOR_PUBLISHER</t>
        </is>
      </c>
      <c r="B540" t="inlineStr">
        <is>
          <t>Entity</t>
        </is>
      </c>
      <c r="C540" t="inlineStr">
        <is>
          <t>FinancialPersonalData</t>
        </is>
      </c>
      <c r="D540" s="6" t="inlineStr">
        <is>
          <t>No Financial Personal Data</t>
        </is>
      </c>
      <c r="E540" s="6" t="inlineStr">
        <is>
          <t>No Financial Personal Data</t>
        </is>
      </c>
      <c r="F540" s="12" t="inlineStr">
        <is>
          <t>PASS</t>
        </is>
      </c>
      <c r="G540" t="inlineStr">
        <is>
          <t>BIM-core.FinancialPersonalData</t>
        </is>
      </c>
      <c r="H540" s="6" t="n"/>
    </row>
    <row r="541">
      <c r="A541" t="inlineStr">
        <is>
          <t>FACTOR_PUBLISHER</t>
        </is>
      </c>
      <c r="B541" t="inlineStr">
        <is>
          <t>Entity</t>
        </is>
      </c>
      <c r="C541" t="inlineStr">
        <is>
          <t>MTED_Encryption_Required</t>
        </is>
      </c>
      <c r="D541" s="6" t="inlineStr">
        <is>
          <t>false</t>
        </is>
      </c>
      <c r="E541" s="6" t="inlineStr">
        <is>
          <t>false</t>
        </is>
      </c>
      <c r="F541" s="12" t="inlineStr">
        <is>
          <t>PASS</t>
        </is>
      </c>
      <c r="G541" t="inlineStr">
        <is>
          <t>SHL_LDM_EntityPropertyExtension.MTED_Encryption_Required</t>
        </is>
      </c>
      <c r="H541" s="6" t="n"/>
    </row>
    <row r="542">
      <c r="A542" t="inlineStr">
        <is>
          <t>FACTOR_PUBLISHER</t>
        </is>
      </c>
      <c r="B542" t="inlineStr">
        <is>
          <t>Entity</t>
        </is>
      </c>
      <c r="C542" t="inlineStr">
        <is>
          <t>MappingLevel</t>
        </is>
      </c>
      <c r="D542" s="6" t="inlineStr">
        <is>
          <t>BLM</t>
        </is>
      </c>
      <c r="E542" s="6" t="inlineStr">
        <is>
          <t>BLM</t>
        </is>
      </c>
      <c r="F542" s="12" t="inlineStr">
        <is>
          <t>PASS</t>
        </is>
      </c>
      <c r="G542" t="inlineStr">
        <is>
          <t>BIM-core.MappingLevel</t>
        </is>
      </c>
      <c r="H542" s="6" t="n"/>
    </row>
    <row r="543">
      <c r="A543" t="inlineStr">
        <is>
          <t>FACTOR_PUBLISHER</t>
        </is>
      </c>
      <c r="B543" t="inlineStr">
        <is>
          <t>Entity</t>
        </is>
      </c>
      <c r="C543" t="inlineStr">
        <is>
          <t>MapsToEntity</t>
        </is>
      </c>
      <c r="D543" s="6" t="inlineStr">
        <is>
          <t>EMISSION_DATA_PUBLISHER</t>
        </is>
      </c>
      <c r="E543" s="6" t="inlineStr">
        <is>
          <t>EMISSION_DATA_PUBLISHER</t>
        </is>
      </c>
      <c r="F543" s="12" t="inlineStr">
        <is>
          <t>PASS</t>
        </is>
      </c>
      <c r="G543" t="inlineStr">
        <is>
          <t>BIM-core.MapsToEntity</t>
        </is>
      </c>
      <c r="H543" s="6" t="n"/>
    </row>
    <row r="544">
      <c r="A544" t="inlineStr">
        <is>
          <t>FACTOR_PUBLISHER</t>
        </is>
      </c>
      <c r="B544" t="inlineStr">
        <is>
          <t>Entity</t>
        </is>
      </c>
      <c r="C544" t="inlineStr">
        <is>
          <t>PD_ObjectID</t>
        </is>
      </c>
      <c r="D544" s="6" t="inlineStr">
        <is>
          <t>D8A7C638-E4D1-4AA2-8243-B9FD5457F16D</t>
        </is>
      </c>
      <c r="E544" s="6" t="inlineStr">
        <is>
          <t>D8A7C638-E4D1-4AA2-8243-B9FD5457F16D</t>
        </is>
      </c>
      <c r="F544" s="12" t="inlineStr">
        <is>
          <t>PASS</t>
        </is>
      </c>
      <c r="H544" s="6" t="n"/>
    </row>
    <row r="545">
      <c r="A545" t="inlineStr">
        <is>
          <t>FACTOR_PUBLISHER</t>
        </is>
      </c>
      <c r="B545" t="inlineStr">
        <is>
          <t>Entity</t>
        </is>
      </c>
      <c r="C545" t="inlineStr">
        <is>
          <t>PD_SourceExtraction</t>
        </is>
      </c>
      <c r="D545" s="6" t="inlineStr">
        <is>
          <t>46603045</t>
        </is>
      </c>
      <c r="E545" s="6" t="inlineStr">
        <is>
          <t>46603045</t>
        </is>
      </c>
      <c r="F545" s="12" t="inlineStr">
        <is>
          <t>PASS</t>
        </is>
      </c>
      <c r="H545" s="6" t="n"/>
    </row>
    <row r="546">
      <c r="A546" t="inlineStr">
        <is>
          <t>FACTOR_PUBLISHER</t>
        </is>
      </c>
      <c r="B546" t="inlineStr">
        <is>
          <t>Entity</t>
        </is>
      </c>
      <c r="C546" t="inlineStr">
        <is>
          <t>PD_SourceModel</t>
        </is>
      </c>
      <c r="D546" s="6" t="inlineStr">
        <is>
          <t>05_Carbon_Calculator</t>
        </is>
      </c>
      <c r="E546" s="6" t="inlineStr">
        <is>
          <t>05_Carbon_Calculator</t>
        </is>
      </c>
      <c r="F546" s="12" t="inlineStr">
        <is>
          <t>PASS</t>
        </is>
      </c>
      <c r="H546" s="6" t="n"/>
    </row>
    <row r="547">
      <c r="A547" t="inlineStr">
        <is>
          <t>FACTOR_PUBLISHER</t>
        </is>
      </c>
      <c r="B547" t="inlineStr">
        <is>
          <t>Entity</t>
        </is>
      </c>
      <c r="C547" t="inlineStr">
        <is>
          <t>SensitivePersonalData</t>
        </is>
      </c>
      <c r="D547" s="6" t="inlineStr">
        <is>
          <t>No Sensitive Personal Data</t>
        </is>
      </c>
      <c r="E547" s="6" t="inlineStr">
        <is>
          <t>No Sensitive Personal Data</t>
        </is>
      </c>
      <c r="F547" s="12" t="inlineStr">
        <is>
          <t>PASS</t>
        </is>
      </c>
      <c r="G547" t="inlineStr">
        <is>
          <t>BIM-core.SensitivePersonalData</t>
        </is>
      </c>
      <c r="H547" s="6" t="n"/>
    </row>
    <row r="548">
      <c r="A548" t="inlineStr">
        <is>
          <t>FACTOR_SOURCE</t>
        </is>
      </c>
      <c r="B548" t="inlineStr">
        <is>
          <t>Entity</t>
        </is>
      </c>
      <c r="C548" t="inlineStr">
        <is>
          <t>CSI</t>
        </is>
      </c>
      <c r="D548" s="6" t="inlineStr">
        <is>
          <t>false</t>
        </is>
      </c>
      <c r="E548" s="6" t="inlineStr">
        <is>
          <t>false</t>
        </is>
      </c>
      <c r="F548" s="12" t="inlineStr">
        <is>
          <t>PASS</t>
        </is>
      </c>
      <c r="G548" t="inlineStr">
        <is>
          <t>SHL_LDM_EntityPropertyExtension.CSI</t>
        </is>
      </c>
      <c r="H548" s="6" t="n"/>
    </row>
    <row r="549">
      <c r="A549" t="inlineStr">
        <is>
          <t>FACTOR_SOURCE</t>
        </is>
      </c>
      <c r="B549" t="inlineStr">
        <is>
          <t>Entity</t>
        </is>
      </c>
      <c r="C549" t="inlineStr">
        <is>
          <t>CommerciallySensitiveInformation</t>
        </is>
      </c>
      <c r="D549" s="6" t="inlineStr">
        <is>
          <t>No Commercially Sensitive Information</t>
        </is>
      </c>
      <c r="E549" s="6" t="inlineStr">
        <is>
          <t>No Commercially Sensitive Information</t>
        </is>
      </c>
      <c r="F549" s="12" t="inlineStr">
        <is>
          <t>PASS</t>
        </is>
      </c>
      <c r="G549" t="inlineStr">
        <is>
          <t>BIM-core.CommerciallySensitiveInformation</t>
        </is>
      </c>
      <c r="H549" s="6" t="n"/>
    </row>
    <row r="550">
      <c r="A550" t="inlineStr">
        <is>
          <t>FACTOR_SOURCE</t>
        </is>
      </c>
      <c r="B550" t="inlineStr">
        <is>
          <t>Entity</t>
        </is>
      </c>
      <c r="C550" t="inlineStr">
        <is>
          <t>Criticality</t>
        </is>
      </c>
      <c r="D550" s="6" t="inlineStr">
        <is>
          <t>No Critical Data</t>
        </is>
      </c>
      <c r="E550" s="6" t="inlineStr">
        <is>
          <t>No Critical Data</t>
        </is>
      </c>
      <c r="F550" s="12" t="inlineStr">
        <is>
          <t>PASS</t>
        </is>
      </c>
      <c r="G550" t="inlineStr">
        <is>
          <t>BIM-core.Criticality</t>
        </is>
      </c>
      <c r="H550" s="6" t="n"/>
    </row>
    <row r="551">
      <c r="A551" t="inlineStr">
        <is>
          <t>FACTOR_SOURCE</t>
        </is>
      </c>
      <c r="B551" t="inlineStr">
        <is>
          <t>Entity</t>
        </is>
      </c>
      <c r="C551" t="inlineStr">
        <is>
          <t>DataArea</t>
        </is>
      </c>
      <c r="D551" s="6" t="inlineStr">
        <is>
          <t>Emission</t>
        </is>
      </c>
      <c r="E551" s="6" t="inlineStr">
        <is>
          <t>Emission</t>
        </is>
      </c>
      <c r="F551" s="12" t="inlineStr">
        <is>
          <t>PASS</t>
        </is>
      </c>
      <c r="G551" t="inlineStr">
        <is>
          <t>BIM-core.DataArea</t>
        </is>
      </c>
      <c r="H551" s="6" t="n"/>
    </row>
    <row r="552">
      <c r="A552" t="inlineStr">
        <is>
          <t>FACTOR_SOURCE</t>
        </is>
      </c>
      <c r="B552" t="inlineStr">
        <is>
          <t>Entity</t>
        </is>
      </c>
      <c r="C552" t="inlineStr">
        <is>
          <t>DataCategory</t>
        </is>
      </c>
      <c r="D552" s="6" t="inlineStr">
        <is>
          <t>Structured</t>
        </is>
      </c>
      <c r="E552" s="6" t="inlineStr">
        <is>
          <t>Structured</t>
        </is>
      </c>
      <c r="F552" s="12" t="inlineStr">
        <is>
          <t>PASS</t>
        </is>
      </c>
      <c r="G552" t="inlineStr">
        <is>
          <t>BIM-core.DataCategory</t>
        </is>
      </c>
      <c r="H552" s="6" t="n"/>
    </row>
    <row r="553">
      <c r="A553" t="inlineStr">
        <is>
          <t>FACTOR_SOURCE</t>
        </is>
      </c>
      <c r="B553" t="inlineStr">
        <is>
          <t>Entity</t>
        </is>
      </c>
      <c r="C553" t="inlineStr">
        <is>
          <t>DataConfidentiality</t>
        </is>
      </c>
      <c r="D553" s="6" t="inlineStr">
        <is>
          <t>Internal</t>
        </is>
      </c>
      <c r="E553" s="6" t="inlineStr">
        <is>
          <t>Internal</t>
        </is>
      </c>
      <c r="F553" s="12" t="inlineStr">
        <is>
          <t>PASS</t>
        </is>
      </c>
      <c r="G553" t="inlineStr">
        <is>
          <t>BIM-core.DataConfidentiality</t>
        </is>
      </c>
      <c r="H553" s="6" t="n"/>
    </row>
    <row r="554">
      <c r="A554" t="inlineStr">
        <is>
          <t>FACTOR_SOURCE</t>
        </is>
      </c>
      <c r="B554" t="inlineStr">
        <is>
          <t>Entity</t>
        </is>
      </c>
      <c r="C554" t="inlineStr">
        <is>
          <t>DesignStatus</t>
        </is>
      </c>
      <c r="D554" s="6" t="inlineStr">
        <is>
          <t>Approved</t>
        </is>
      </c>
      <c r="E554" s="6" t="inlineStr">
        <is>
          <t>Approved</t>
        </is>
      </c>
      <c r="F554" s="12" t="inlineStr">
        <is>
          <t>PASS</t>
        </is>
      </c>
      <c r="G554" t="inlineStr">
        <is>
          <t>BIM-core.DesignStatus</t>
        </is>
      </c>
      <c r="H554" s="6" t="n"/>
    </row>
    <row r="555">
      <c r="A555" t="inlineStr">
        <is>
          <t>FACTOR_SOURCE</t>
        </is>
      </c>
      <c r="B555" t="inlineStr">
        <is>
          <t>Entity</t>
        </is>
      </c>
      <c r="C555" t="inlineStr">
        <is>
          <t>EntityCategory</t>
        </is>
      </c>
      <c r="D555" s="6" t="inlineStr">
        <is>
          <t>Master</t>
        </is>
      </c>
      <c r="E555" s="6" t="inlineStr">
        <is>
          <t>Master</t>
        </is>
      </c>
      <c r="F555" s="12" t="inlineStr">
        <is>
          <t>PASS</t>
        </is>
      </c>
      <c r="G555" t="inlineStr">
        <is>
          <t>BIM-core.EntityCategory</t>
        </is>
      </c>
      <c r="H555" s="6" t="n"/>
    </row>
    <row r="556">
      <c r="A556" t="inlineStr">
        <is>
          <t>FACTOR_SOURCE</t>
        </is>
      </c>
      <c r="B556" t="inlineStr">
        <is>
          <t>Entity</t>
        </is>
      </c>
      <c r="C556" t="inlineStr">
        <is>
          <t>EntityPersonalData</t>
        </is>
      </c>
      <c r="D556" s="6" t="inlineStr">
        <is>
          <t>No Personal Data</t>
        </is>
      </c>
      <c r="E556" s="6" t="inlineStr">
        <is>
          <t>No Personal Data</t>
        </is>
      </c>
      <c r="F556" s="12" t="inlineStr">
        <is>
          <t>PASS</t>
        </is>
      </c>
      <c r="G556" t="inlineStr">
        <is>
          <t>BIM-core.EntityPersonalData</t>
        </is>
      </c>
      <c r="H556" s="6" t="n"/>
    </row>
    <row r="557">
      <c r="A557" t="inlineStr">
        <is>
          <t>FACTOR_SOURCE</t>
        </is>
      </c>
      <c r="B557" t="inlineStr">
        <is>
          <t>Entity</t>
        </is>
      </c>
      <c r="C557" t="inlineStr">
        <is>
          <t>FinancialPersonalData</t>
        </is>
      </c>
      <c r="D557" s="6" t="inlineStr">
        <is>
          <t>No Financial Personal Data</t>
        </is>
      </c>
      <c r="E557" s="6" t="inlineStr">
        <is>
          <t>No Financial Personal Data</t>
        </is>
      </c>
      <c r="F557" s="12" t="inlineStr">
        <is>
          <t>PASS</t>
        </is>
      </c>
      <c r="G557" t="inlineStr">
        <is>
          <t>BIM-core.FinancialPersonalData</t>
        </is>
      </c>
      <c r="H557" s="6" t="n"/>
    </row>
    <row r="558">
      <c r="A558" t="inlineStr">
        <is>
          <t>FACTOR_SOURCE</t>
        </is>
      </c>
      <c r="B558" t="inlineStr">
        <is>
          <t>Entity</t>
        </is>
      </c>
      <c r="C558" t="inlineStr">
        <is>
          <t>MTED_Encryption_Required</t>
        </is>
      </c>
      <c r="D558" s="6" t="inlineStr">
        <is>
          <t>false</t>
        </is>
      </c>
      <c r="E558" s="6" t="inlineStr">
        <is>
          <t>false</t>
        </is>
      </c>
      <c r="F558" s="12" t="inlineStr">
        <is>
          <t>PASS</t>
        </is>
      </c>
      <c r="G558" t="inlineStr">
        <is>
          <t>SHL_LDM_EntityPropertyExtension.MTED_Encryption_Required</t>
        </is>
      </c>
      <c r="H558" s="6" t="n"/>
    </row>
    <row r="559">
      <c r="A559" t="inlineStr">
        <is>
          <t>FACTOR_SOURCE</t>
        </is>
      </c>
      <c r="B559" t="inlineStr">
        <is>
          <t>Entity</t>
        </is>
      </c>
      <c r="C559" t="inlineStr">
        <is>
          <t>MappingLevel</t>
        </is>
      </c>
      <c r="D559" s="6" t="inlineStr">
        <is>
          <t>BLM</t>
        </is>
      </c>
      <c r="E559" s="6" t="inlineStr">
        <is>
          <t>BLM</t>
        </is>
      </c>
      <c r="F559" s="12" t="inlineStr">
        <is>
          <t>PASS</t>
        </is>
      </c>
      <c r="G559" t="inlineStr">
        <is>
          <t>BIM-core.MappingLevel</t>
        </is>
      </c>
      <c r="H559" s="6" t="n"/>
    </row>
    <row r="560">
      <c r="A560" t="inlineStr">
        <is>
          <t>FACTOR_SOURCE</t>
        </is>
      </c>
      <c r="B560" t="inlineStr">
        <is>
          <t>Entity</t>
        </is>
      </c>
      <c r="C560" t="inlineStr">
        <is>
          <t>MapsToEntity</t>
        </is>
      </c>
      <c r="D560" s="6" t="inlineStr">
        <is>
          <t>EMISSION_FACTOR_SOURCE</t>
        </is>
      </c>
      <c r="E560" s="6" t="inlineStr">
        <is>
          <t>EMISSION_FACTOR_SOURCE</t>
        </is>
      </c>
      <c r="F560" s="12" t="inlineStr">
        <is>
          <t>PASS</t>
        </is>
      </c>
      <c r="G560" t="inlineStr">
        <is>
          <t>BIM-core.MapsToEntity</t>
        </is>
      </c>
      <c r="H560" s="6" t="n"/>
    </row>
    <row r="561">
      <c r="A561" t="inlineStr">
        <is>
          <t>FACTOR_SOURCE</t>
        </is>
      </c>
      <c r="B561" t="inlineStr">
        <is>
          <t>Entity</t>
        </is>
      </c>
      <c r="C561" t="inlineStr">
        <is>
          <t>PD_ObjectID</t>
        </is>
      </c>
      <c r="D561" s="6" t="inlineStr">
        <is>
          <t>403C6086-CA8E-499A-BDE3-2698C9D16E65</t>
        </is>
      </c>
      <c r="E561" s="6" t="inlineStr">
        <is>
          <t>403C6086-CA8E-499A-BDE3-2698C9D16E65</t>
        </is>
      </c>
      <c r="F561" s="12" t="inlineStr">
        <is>
          <t>PASS</t>
        </is>
      </c>
      <c r="H561" s="6" t="n"/>
    </row>
    <row r="562">
      <c r="A562" t="inlineStr">
        <is>
          <t>FACTOR_SOURCE</t>
        </is>
      </c>
      <c r="B562" t="inlineStr">
        <is>
          <t>Entity</t>
        </is>
      </c>
      <c r="C562" t="inlineStr">
        <is>
          <t>PD_SourceExtraction</t>
        </is>
      </c>
      <c r="D562" s="6" t="inlineStr">
        <is>
          <t>46603045</t>
        </is>
      </c>
      <c r="E562" s="6" t="inlineStr">
        <is>
          <t>46603045</t>
        </is>
      </c>
      <c r="F562" s="12" t="inlineStr">
        <is>
          <t>PASS</t>
        </is>
      </c>
      <c r="H562" s="6" t="n"/>
    </row>
    <row r="563">
      <c r="A563" t="inlineStr">
        <is>
          <t>FACTOR_SOURCE</t>
        </is>
      </c>
      <c r="B563" t="inlineStr">
        <is>
          <t>Entity</t>
        </is>
      </c>
      <c r="C563" t="inlineStr">
        <is>
          <t>PD_SourceModel</t>
        </is>
      </c>
      <c r="D563" s="6" t="inlineStr">
        <is>
          <t>05_Carbon_Calculator</t>
        </is>
      </c>
      <c r="E563" s="6" t="inlineStr">
        <is>
          <t>05_Carbon_Calculator</t>
        </is>
      </c>
      <c r="F563" s="12" t="inlineStr">
        <is>
          <t>PASS</t>
        </is>
      </c>
      <c r="H563" s="6" t="n"/>
    </row>
    <row r="564">
      <c r="A564" t="inlineStr">
        <is>
          <t>FACTOR_SOURCE</t>
        </is>
      </c>
      <c r="B564" t="inlineStr">
        <is>
          <t>Entity</t>
        </is>
      </c>
      <c r="C564" t="inlineStr">
        <is>
          <t>SensitivePersonalData</t>
        </is>
      </c>
      <c r="D564" s="6" t="inlineStr">
        <is>
          <t>No Sensitive Personal Data</t>
        </is>
      </c>
      <c r="E564" s="6" t="inlineStr">
        <is>
          <t>No Sensitive Personal Data</t>
        </is>
      </c>
      <c r="F564" s="12" t="inlineStr">
        <is>
          <t>PASS</t>
        </is>
      </c>
      <c r="G564" t="inlineStr">
        <is>
          <t>BIM-core.SensitivePersonalData</t>
        </is>
      </c>
      <c r="H564" s="6" t="n"/>
    </row>
    <row r="565">
      <c r="A565" t="inlineStr">
        <is>
          <t>FACTOR_SOURCE_COMPOSITION</t>
        </is>
      </c>
      <c r="B565" t="inlineStr">
        <is>
          <t>Entity</t>
        </is>
      </c>
      <c r="C565" t="inlineStr">
        <is>
          <t>CSI</t>
        </is>
      </c>
      <c r="D565" s="6" t="inlineStr">
        <is>
          <t>false</t>
        </is>
      </c>
      <c r="E565" s="6" t="inlineStr">
        <is>
          <t>false</t>
        </is>
      </c>
      <c r="F565" s="12" t="inlineStr">
        <is>
          <t>PASS</t>
        </is>
      </c>
      <c r="G565" t="inlineStr">
        <is>
          <t>SHL_LDM_EntityPropertyExtension.CSI</t>
        </is>
      </c>
      <c r="H565" s="6" t="n"/>
    </row>
    <row r="566">
      <c r="A566" t="inlineStr">
        <is>
          <t>FACTOR_SOURCE_COMPOSITION</t>
        </is>
      </c>
      <c r="B566" t="inlineStr">
        <is>
          <t>Entity</t>
        </is>
      </c>
      <c r="C566" t="inlineStr">
        <is>
          <t>CommerciallySensitiveInformation</t>
        </is>
      </c>
      <c r="D566" s="6" t="inlineStr">
        <is>
          <t>No Commercially Sensitive Information</t>
        </is>
      </c>
      <c r="E566" s="6" t="inlineStr">
        <is>
          <t>No Commercially Sensitive Information</t>
        </is>
      </c>
      <c r="F566" s="12" t="inlineStr">
        <is>
          <t>PASS</t>
        </is>
      </c>
      <c r="G566" t="inlineStr">
        <is>
          <t>BIM-core.CommerciallySensitiveInformation</t>
        </is>
      </c>
      <c r="H566" s="6" t="n"/>
    </row>
    <row r="567">
      <c r="A567" t="inlineStr">
        <is>
          <t>FACTOR_SOURCE_COMPOSITION</t>
        </is>
      </c>
      <c r="B567" t="inlineStr">
        <is>
          <t>Entity</t>
        </is>
      </c>
      <c r="C567" t="inlineStr">
        <is>
          <t>Criticality</t>
        </is>
      </c>
      <c r="D567" s="6" t="inlineStr">
        <is>
          <t>No Critical Data</t>
        </is>
      </c>
      <c r="E567" s="6" t="inlineStr">
        <is>
          <t>No Critical Data</t>
        </is>
      </c>
      <c r="F567" s="12" t="inlineStr">
        <is>
          <t>PASS</t>
        </is>
      </c>
      <c r="G567" t="inlineStr">
        <is>
          <t>BIM-core.Criticality</t>
        </is>
      </c>
      <c r="H567" s="6" t="n"/>
    </row>
    <row r="568">
      <c r="A568" t="inlineStr">
        <is>
          <t>FACTOR_SOURCE_COMPOSITION</t>
        </is>
      </c>
      <c r="B568" t="inlineStr">
        <is>
          <t>Entity</t>
        </is>
      </c>
      <c r="C568" t="inlineStr">
        <is>
          <t>DataCategory</t>
        </is>
      </c>
      <c r="D568" s="6" t="inlineStr">
        <is>
          <t>Structured</t>
        </is>
      </c>
      <c r="E568" s="6" t="inlineStr">
        <is>
          <t>Structured</t>
        </is>
      </c>
      <c r="F568" s="12" t="inlineStr">
        <is>
          <t>PASS</t>
        </is>
      </c>
      <c r="G568" t="inlineStr">
        <is>
          <t>BIM-core.DataCategory</t>
        </is>
      </c>
      <c r="H568" s="6" t="n"/>
    </row>
    <row r="569">
      <c r="A569" t="inlineStr">
        <is>
          <t>FACTOR_SOURCE_COMPOSITION</t>
        </is>
      </c>
      <c r="B569" t="inlineStr">
        <is>
          <t>Entity</t>
        </is>
      </c>
      <c r="C569" t="inlineStr">
        <is>
          <t>DataConfidentiality</t>
        </is>
      </c>
      <c r="D569" s="6" t="inlineStr">
        <is>
          <t>Internal</t>
        </is>
      </c>
      <c r="E569" s="6" t="inlineStr">
        <is>
          <t>Internal</t>
        </is>
      </c>
      <c r="F569" s="12" t="inlineStr">
        <is>
          <t>PASS</t>
        </is>
      </c>
      <c r="G569" t="inlineStr">
        <is>
          <t>BIM-core.DataConfidentiality</t>
        </is>
      </c>
      <c r="H569" s="6" t="n"/>
    </row>
    <row r="570">
      <c r="A570" t="inlineStr">
        <is>
          <t>FACTOR_SOURCE_COMPOSITION</t>
        </is>
      </c>
      <c r="B570" t="inlineStr">
        <is>
          <t>Entity</t>
        </is>
      </c>
      <c r="C570" t="inlineStr">
        <is>
          <t>DesignStatus</t>
        </is>
      </c>
      <c r="D570" s="6" t="inlineStr">
        <is>
          <t>Approved</t>
        </is>
      </c>
      <c r="E570" s="6" t="inlineStr">
        <is>
          <t>Approved</t>
        </is>
      </c>
      <c r="F570" s="12" t="inlineStr">
        <is>
          <t>PASS</t>
        </is>
      </c>
      <c r="G570" t="inlineStr">
        <is>
          <t>BIM-core.DesignStatus</t>
        </is>
      </c>
      <c r="H570" s="6" t="n"/>
    </row>
    <row r="571">
      <c r="A571" t="inlineStr">
        <is>
          <t>FACTOR_SOURCE_COMPOSITION</t>
        </is>
      </c>
      <c r="B571" t="inlineStr">
        <is>
          <t>Entity</t>
        </is>
      </c>
      <c r="C571" t="inlineStr">
        <is>
          <t>EntityCategory</t>
        </is>
      </c>
      <c r="D571" s="6" t="inlineStr">
        <is>
          <t>Master</t>
        </is>
      </c>
      <c r="E571" s="6" t="inlineStr">
        <is>
          <t>Master</t>
        </is>
      </c>
      <c r="F571" s="12" t="inlineStr">
        <is>
          <t>PASS</t>
        </is>
      </c>
      <c r="G571" t="inlineStr">
        <is>
          <t>BIM-core.EntityCategory</t>
        </is>
      </c>
      <c r="H571" s="6" t="n"/>
    </row>
    <row r="572">
      <c r="A572" t="inlineStr">
        <is>
          <t>FACTOR_SOURCE_COMPOSITION</t>
        </is>
      </c>
      <c r="B572" t="inlineStr">
        <is>
          <t>Entity</t>
        </is>
      </c>
      <c r="C572" t="inlineStr">
        <is>
          <t>EntityPersonalData</t>
        </is>
      </c>
      <c r="D572" s="6" t="inlineStr">
        <is>
          <t>No Personal Data</t>
        </is>
      </c>
      <c r="E572" s="6" t="inlineStr">
        <is>
          <t>No Personal Data</t>
        </is>
      </c>
      <c r="F572" s="12" t="inlineStr">
        <is>
          <t>PASS</t>
        </is>
      </c>
      <c r="G572" t="inlineStr">
        <is>
          <t>BIM-core.EntityPersonalData</t>
        </is>
      </c>
      <c r="H572" s="6" t="n"/>
    </row>
    <row r="573">
      <c r="A573" t="inlineStr">
        <is>
          <t>FACTOR_SOURCE_COMPOSITION</t>
        </is>
      </c>
      <c r="B573" t="inlineStr">
        <is>
          <t>Entity</t>
        </is>
      </c>
      <c r="C573" t="inlineStr">
        <is>
          <t>FinancialPersonalData</t>
        </is>
      </c>
      <c r="D573" s="6" t="inlineStr">
        <is>
          <t>No Financial Personal Data</t>
        </is>
      </c>
      <c r="E573" s="6" t="inlineStr">
        <is>
          <t>No Financial Personal Data</t>
        </is>
      </c>
      <c r="F573" s="12" t="inlineStr">
        <is>
          <t>PASS</t>
        </is>
      </c>
      <c r="G573" t="inlineStr">
        <is>
          <t>BIM-core.FinancialPersonalData</t>
        </is>
      </c>
      <c r="H573" s="6" t="n"/>
    </row>
    <row r="574">
      <c r="A574" t="inlineStr">
        <is>
          <t>FACTOR_SOURCE_COMPOSITION</t>
        </is>
      </c>
      <c r="B574" t="inlineStr">
        <is>
          <t>Entity</t>
        </is>
      </c>
      <c r="C574" t="inlineStr">
        <is>
          <t>MTED_Encryption_Required</t>
        </is>
      </c>
      <c r="D574" s="6" t="inlineStr">
        <is>
          <t>false</t>
        </is>
      </c>
      <c r="E574" s="6" t="inlineStr">
        <is>
          <t>false</t>
        </is>
      </c>
      <c r="F574" s="12" t="inlineStr">
        <is>
          <t>PASS</t>
        </is>
      </c>
      <c r="G574" t="inlineStr">
        <is>
          <t>SHL_LDM_EntityPropertyExtension.MTED_Encryption_Required</t>
        </is>
      </c>
      <c r="H574" s="6" t="n"/>
    </row>
    <row r="575">
      <c r="A575" t="inlineStr">
        <is>
          <t>FACTOR_SOURCE_COMPOSITION</t>
        </is>
      </c>
      <c r="B575" t="inlineStr">
        <is>
          <t>Entity</t>
        </is>
      </c>
      <c r="C575" t="inlineStr">
        <is>
          <t>MappingLevel</t>
        </is>
      </c>
      <c r="D575" s="6" t="inlineStr">
        <is>
          <t>BLM</t>
        </is>
      </c>
      <c r="E575" s="6" t="inlineStr">
        <is>
          <t>BLM</t>
        </is>
      </c>
      <c r="F575" s="12" t="inlineStr">
        <is>
          <t>PASS</t>
        </is>
      </c>
      <c r="G575" t="inlineStr">
        <is>
          <t>BIM-core.MappingLevel</t>
        </is>
      </c>
      <c r="H575" s="6" t="n"/>
    </row>
    <row r="576">
      <c r="A576" t="inlineStr">
        <is>
          <t>FACTOR_SOURCE_COMPOSITION</t>
        </is>
      </c>
      <c r="B576" t="inlineStr">
        <is>
          <t>Entity</t>
        </is>
      </c>
      <c r="C576" t="inlineStr">
        <is>
          <t>MapsToEntity</t>
        </is>
      </c>
      <c r="D576" s="6" t="inlineStr">
        <is>
          <t>FACTOR_SOURCE_COMPOSITION</t>
        </is>
      </c>
      <c r="E576" s="6" t="inlineStr">
        <is>
          <t>FACTOR_SOURCE_COMPOSITION</t>
        </is>
      </c>
      <c r="F576" s="12" t="inlineStr">
        <is>
          <t>PASS</t>
        </is>
      </c>
      <c r="G576" t="inlineStr">
        <is>
          <t>BIM-core.MapsToEntity</t>
        </is>
      </c>
      <c r="H576" s="6" t="n"/>
    </row>
    <row r="577">
      <c r="A577" t="inlineStr">
        <is>
          <t>FACTOR_SOURCE_COMPOSITION</t>
        </is>
      </c>
      <c r="B577" t="inlineStr">
        <is>
          <t>Entity</t>
        </is>
      </c>
      <c r="C577" t="inlineStr">
        <is>
          <t>PD_ObjectID</t>
        </is>
      </c>
      <c r="D577" s="6" t="inlineStr">
        <is>
          <t>6E0A71B5-8F4B-49E4-A6EA-9478D45D88AF</t>
        </is>
      </c>
      <c r="E577" s="6" t="inlineStr">
        <is>
          <t>6E0A71B5-8F4B-49E4-A6EA-9478D45D88AF</t>
        </is>
      </c>
      <c r="F577" s="12" t="inlineStr">
        <is>
          <t>PASS</t>
        </is>
      </c>
      <c r="H577" s="6" t="n"/>
    </row>
    <row r="578">
      <c r="A578" t="inlineStr">
        <is>
          <t>FACTOR_SOURCE_COMPOSITION</t>
        </is>
      </c>
      <c r="B578" t="inlineStr">
        <is>
          <t>Entity</t>
        </is>
      </c>
      <c r="C578" t="inlineStr">
        <is>
          <t>PD_SourceExtraction</t>
        </is>
      </c>
      <c r="D578" s="6" t="inlineStr">
        <is>
          <t>46603045</t>
        </is>
      </c>
      <c r="E578" s="6" t="inlineStr">
        <is>
          <t>46603045</t>
        </is>
      </c>
      <c r="F578" s="12" t="inlineStr">
        <is>
          <t>PASS</t>
        </is>
      </c>
      <c r="H578" s="6" t="n"/>
    </row>
    <row r="579">
      <c r="A579" t="inlineStr">
        <is>
          <t>FACTOR_SOURCE_COMPOSITION</t>
        </is>
      </c>
      <c r="B579" t="inlineStr">
        <is>
          <t>Entity</t>
        </is>
      </c>
      <c r="C579" t="inlineStr">
        <is>
          <t>PD_SourceModel</t>
        </is>
      </c>
      <c r="D579" s="6" t="inlineStr">
        <is>
          <t>05_Carbon_Calculator</t>
        </is>
      </c>
      <c r="E579" s="6" t="inlineStr">
        <is>
          <t>05_Carbon_Calculator</t>
        </is>
      </c>
      <c r="F579" s="12" t="inlineStr">
        <is>
          <t>PASS</t>
        </is>
      </c>
      <c r="H579" s="6" t="n"/>
    </row>
    <row r="580">
      <c r="A580" t="inlineStr">
        <is>
          <t>FACTOR_SOURCE_COMPOSITION</t>
        </is>
      </c>
      <c r="B580" t="inlineStr">
        <is>
          <t>Entity</t>
        </is>
      </c>
      <c r="C580" t="inlineStr">
        <is>
          <t>SensitivePersonalData</t>
        </is>
      </c>
      <c r="D580" s="6" t="inlineStr">
        <is>
          <t>No Sensitive Personal Data</t>
        </is>
      </c>
      <c r="E580" s="6" t="inlineStr">
        <is>
          <t>No Sensitive Personal Data</t>
        </is>
      </c>
      <c r="F580" s="12" t="inlineStr">
        <is>
          <t>PASS</t>
        </is>
      </c>
      <c r="G580" t="inlineStr">
        <is>
          <t>BIM-core.SensitivePersonalData</t>
        </is>
      </c>
      <c r="H580" s="6" t="n"/>
    </row>
    <row r="581">
      <c r="A581" t="inlineStr">
        <is>
          <t>FAQ</t>
        </is>
      </c>
      <c r="B581" t="inlineStr">
        <is>
          <t>Entity</t>
        </is>
      </c>
      <c r="C581" t="inlineStr">
        <is>
          <t>CommerciallySensitiveInformation</t>
        </is>
      </c>
      <c r="D581" s="6" t="inlineStr">
        <is>
          <t>No Commercially Sensitive Information</t>
        </is>
      </c>
      <c r="E581" s="6" t="inlineStr">
        <is>
          <t>No Commercially Sensitive Information</t>
        </is>
      </c>
      <c r="F581" s="12" t="inlineStr">
        <is>
          <t>PASS</t>
        </is>
      </c>
      <c r="G581" t="inlineStr">
        <is>
          <t>BIM-core.CommerciallySensitiveInformation</t>
        </is>
      </c>
      <c r="H581" s="6" t="n"/>
    </row>
    <row r="582">
      <c r="A582" t="inlineStr">
        <is>
          <t>FAQ</t>
        </is>
      </c>
      <c r="B582" t="inlineStr">
        <is>
          <t>Entity</t>
        </is>
      </c>
      <c r="C582" t="inlineStr">
        <is>
          <t>Criticality</t>
        </is>
      </c>
      <c r="D582" s="6" t="inlineStr">
        <is>
          <t>No Critical Data</t>
        </is>
      </c>
      <c r="E582" s="6" t="inlineStr">
        <is>
          <t>No Critical Data</t>
        </is>
      </c>
      <c r="F582" s="12" t="inlineStr">
        <is>
          <t>PASS</t>
        </is>
      </c>
      <c r="G582" t="inlineStr">
        <is>
          <t>BIM-core.Criticality</t>
        </is>
      </c>
      <c r="H582" s="6" t="n"/>
    </row>
    <row r="583">
      <c r="A583" t="inlineStr">
        <is>
          <t>FAQ</t>
        </is>
      </c>
      <c r="B583" t="inlineStr">
        <is>
          <t>Entity</t>
        </is>
      </c>
      <c r="C583" t="inlineStr">
        <is>
          <t>DataCategory</t>
        </is>
      </c>
      <c r="D583" s="6" t="inlineStr">
        <is>
          <t>Structured</t>
        </is>
      </c>
      <c r="E583" s="6" t="inlineStr">
        <is>
          <t>Structured</t>
        </is>
      </c>
      <c r="F583" s="12" t="inlineStr">
        <is>
          <t>PASS</t>
        </is>
      </c>
      <c r="G583" t="inlineStr">
        <is>
          <t>BIM-core.DataCategory</t>
        </is>
      </c>
      <c r="H583" s="6" t="n"/>
    </row>
    <row r="584">
      <c r="A584" t="inlineStr">
        <is>
          <t>FAQ</t>
        </is>
      </c>
      <c r="B584" t="inlineStr">
        <is>
          <t>Entity</t>
        </is>
      </c>
      <c r="C584" t="inlineStr">
        <is>
          <t>DataConfidentiality</t>
        </is>
      </c>
      <c r="D584" s="6" t="inlineStr">
        <is>
          <t>Internal</t>
        </is>
      </c>
      <c r="E584" s="6" t="inlineStr">
        <is>
          <t>Internal</t>
        </is>
      </c>
      <c r="F584" s="12" t="inlineStr">
        <is>
          <t>PASS</t>
        </is>
      </c>
      <c r="G584" t="inlineStr">
        <is>
          <t>BIM-core.DataConfidentiality</t>
        </is>
      </c>
      <c r="H584" s="6" t="n"/>
    </row>
    <row r="585">
      <c r="A585" t="inlineStr">
        <is>
          <t>FAQ</t>
        </is>
      </c>
      <c r="B585" t="inlineStr">
        <is>
          <t>Entity</t>
        </is>
      </c>
      <c r="C585" t="inlineStr">
        <is>
          <t>DesignStatus</t>
        </is>
      </c>
      <c r="D585" s="6" t="inlineStr">
        <is>
          <t>Approved</t>
        </is>
      </c>
      <c r="E585" s="6" t="inlineStr">
        <is>
          <t>Approved</t>
        </is>
      </c>
      <c r="F585" s="12" t="inlineStr">
        <is>
          <t>PASS</t>
        </is>
      </c>
      <c r="G585" t="inlineStr">
        <is>
          <t>BIM-core.DesignStatus</t>
        </is>
      </c>
      <c r="H585" s="6" t="n"/>
    </row>
    <row r="586">
      <c r="A586" t="inlineStr">
        <is>
          <t>FAQ</t>
        </is>
      </c>
      <c r="B586" t="inlineStr">
        <is>
          <t>Entity</t>
        </is>
      </c>
      <c r="C586" t="inlineStr">
        <is>
          <t>EntityCategory</t>
        </is>
      </c>
      <c r="D586" s="6" t="inlineStr">
        <is>
          <t>Master</t>
        </is>
      </c>
      <c r="E586" s="6" t="inlineStr">
        <is>
          <t>Master</t>
        </is>
      </c>
      <c r="F586" s="12" t="inlineStr">
        <is>
          <t>PASS</t>
        </is>
      </c>
      <c r="G586" t="inlineStr">
        <is>
          <t>BIM-core.EntityCategory</t>
        </is>
      </c>
      <c r="H586" s="6" t="n"/>
    </row>
    <row r="587">
      <c r="A587" t="inlineStr">
        <is>
          <t>FAQ</t>
        </is>
      </c>
      <c r="B587" t="inlineStr">
        <is>
          <t>Entity</t>
        </is>
      </c>
      <c r="C587" t="inlineStr">
        <is>
          <t>EntityPersonalData</t>
        </is>
      </c>
      <c r="D587" s="6" t="inlineStr">
        <is>
          <t>No Personal Data</t>
        </is>
      </c>
      <c r="E587" s="6" t="inlineStr">
        <is>
          <t>No Personal Data</t>
        </is>
      </c>
      <c r="F587" s="12" t="inlineStr">
        <is>
          <t>PASS</t>
        </is>
      </c>
      <c r="G587" t="inlineStr">
        <is>
          <t>BIM-core.EntityPersonalData</t>
        </is>
      </c>
      <c r="H587" s="6" t="n"/>
    </row>
    <row r="588">
      <c r="A588" t="inlineStr">
        <is>
          <t>FAQ</t>
        </is>
      </c>
      <c r="B588" t="inlineStr">
        <is>
          <t>Entity</t>
        </is>
      </c>
      <c r="C588" t="inlineStr">
        <is>
          <t>FinancialPersonalData</t>
        </is>
      </c>
      <c r="D588" s="6" t="inlineStr">
        <is>
          <t>No Financial Personal Data</t>
        </is>
      </c>
      <c r="E588" s="6" t="inlineStr">
        <is>
          <t>No Financial Personal Data</t>
        </is>
      </c>
      <c r="F588" s="12" t="inlineStr">
        <is>
          <t>PASS</t>
        </is>
      </c>
      <c r="G588" t="inlineStr">
        <is>
          <t>BIM-core.FinancialPersonalData</t>
        </is>
      </c>
      <c r="H588" s="6" t="n"/>
    </row>
    <row r="589">
      <c r="A589" t="inlineStr">
        <is>
          <t>FAQ</t>
        </is>
      </c>
      <c r="B589" t="inlineStr">
        <is>
          <t>Entity</t>
        </is>
      </c>
      <c r="C589" t="inlineStr">
        <is>
          <t>MTED_EDaM_Mapping_Note</t>
        </is>
      </c>
      <c r="D589" s="6" t="inlineStr">
        <is>
          <t>{\rtf1\ansi\ansicpg1252\deff0\nouicompat\deflang2057{\fonttbl{\f0\fnil\fcharset0 Times New Roman;}}</t>
        </is>
      </c>
      <c r="E589" s="6" t="inlineStr">
        <is>
          <t>{\rtf1\ansi\ansicpg1252\deff0\nouicompat\deflang2057{\fonttbl{\f0\fnil\fcharset0 Times New Roman;}}</t>
        </is>
      </c>
      <c r="F589" s="12" t="inlineStr">
        <is>
          <t>PASS</t>
        </is>
      </c>
      <c r="G589" t="inlineStr">
        <is>
          <t>BIM-core.MTED_EDaM_Mapping_Note</t>
        </is>
      </c>
      <c r="H589" s="6" t="n"/>
    </row>
    <row r="590">
      <c r="A590" t="inlineStr">
        <is>
          <t>FAQ</t>
        </is>
      </c>
      <c r="B590" t="inlineStr">
        <is>
          <t>Entity</t>
        </is>
      </c>
      <c r="C590" t="inlineStr">
        <is>
          <t>MappingLevel</t>
        </is>
      </c>
      <c r="D590" s="6" t="inlineStr">
        <is>
          <t>Application Specific</t>
        </is>
      </c>
      <c r="E590" s="6" t="inlineStr">
        <is>
          <t>Application Specific</t>
        </is>
      </c>
      <c r="F590" s="12" t="inlineStr">
        <is>
          <t>PASS</t>
        </is>
      </c>
      <c r="G590" t="inlineStr">
        <is>
          <t>BIM-core.MappingLevel</t>
        </is>
      </c>
      <c r="H590" s="6" t="n"/>
    </row>
    <row r="591">
      <c r="A591" t="inlineStr">
        <is>
          <t>FAQ</t>
        </is>
      </c>
      <c r="B591" t="inlineStr">
        <is>
          <t>Entity</t>
        </is>
      </c>
      <c r="C591" t="inlineStr">
        <is>
          <t>PD_ObjectID</t>
        </is>
      </c>
      <c r="D591" s="6" t="inlineStr">
        <is>
          <t>21F3B66E-EB71-4880-B623-BD9161FB156B</t>
        </is>
      </c>
      <c r="E591" s="6" t="inlineStr">
        <is>
          <t>21F3B66E-EB71-4880-B623-BD9161FB156B</t>
        </is>
      </c>
      <c r="F591" s="12" t="inlineStr">
        <is>
          <t>PASS</t>
        </is>
      </c>
      <c r="H591" s="6" t="n"/>
    </row>
    <row r="592">
      <c r="A592" t="inlineStr">
        <is>
          <t>FAQ</t>
        </is>
      </c>
      <c r="B592" t="inlineStr">
        <is>
          <t>Entity</t>
        </is>
      </c>
      <c r="C592" t="inlineStr">
        <is>
          <t>PD_SourceExtraction</t>
        </is>
      </c>
      <c r="D592" s="6" t="inlineStr">
        <is>
          <t>46603045</t>
        </is>
      </c>
      <c r="E592" s="6" t="inlineStr">
        <is>
          <t>46603045</t>
        </is>
      </c>
      <c r="F592" s="12" t="inlineStr">
        <is>
          <t>PASS</t>
        </is>
      </c>
      <c r="H592" s="6" t="n"/>
    </row>
    <row r="593">
      <c r="A593" t="inlineStr">
        <is>
          <t>FAQ</t>
        </is>
      </c>
      <c r="B593" t="inlineStr">
        <is>
          <t>Entity</t>
        </is>
      </c>
      <c r="C593" t="inlineStr">
        <is>
          <t>PD_SourceModel</t>
        </is>
      </c>
      <c r="D593" s="6" t="inlineStr">
        <is>
          <t>05_Carbon_Calculator</t>
        </is>
      </c>
      <c r="E593" s="6" t="inlineStr">
        <is>
          <t>05_Carbon_Calculator</t>
        </is>
      </c>
      <c r="F593" s="12" t="inlineStr">
        <is>
          <t>PASS</t>
        </is>
      </c>
      <c r="H593" s="6" t="n"/>
    </row>
    <row r="594">
      <c r="A594" t="inlineStr">
        <is>
          <t>FAQ</t>
        </is>
      </c>
      <c r="B594" t="inlineStr">
        <is>
          <t>Entity</t>
        </is>
      </c>
      <c r="C594" t="inlineStr">
        <is>
          <t>SensitivePersonalData</t>
        </is>
      </c>
      <c r="D594" s="6" t="inlineStr">
        <is>
          <t>No Sensitive Personal Data</t>
        </is>
      </c>
      <c r="E594" s="6" t="inlineStr">
        <is>
          <t>No Sensitive Personal Data</t>
        </is>
      </c>
      <c r="F594" s="12" t="inlineStr">
        <is>
          <t>PASS</t>
        </is>
      </c>
      <c r="G594" t="inlineStr">
        <is>
          <t>BIM-core.SensitivePersonalData</t>
        </is>
      </c>
      <c r="H594" s="6" t="n"/>
    </row>
    <row r="595">
      <c r="A595" t="inlineStr">
        <is>
          <t>FUEL_APPLICATION</t>
        </is>
      </c>
      <c r="B595" t="inlineStr">
        <is>
          <t>Entity</t>
        </is>
      </c>
      <c r="C595" t="inlineStr">
        <is>
          <t>CSI</t>
        </is>
      </c>
      <c r="D595" s="6" t="inlineStr">
        <is>
          <t>false</t>
        </is>
      </c>
      <c r="E595" s="6" t="inlineStr">
        <is>
          <t>false</t>
        </is>
      </c>
      <c r="F595" s="12" t="inlineStr">
        <is>
          <t>PASS</t>
        </is>
      </c>
      <c r="G595" t="inlineStr">
        <is>
          <t>SHL_LDM_EntityPropertyExtension.CSI</t>
        </is>
      </c>
      <c r="H595" s="6" t="n"/>
    </row>
    <row r="596">
      <c r="A596" t="inlineStr">
        <is>
          <t>FUEL_APPLICATION</t>
        </is>
      </c>
      <c r="B596" t="inlineStr">
        <is>
          <t>Entity</t>
        </is>
      </c>
      <c r="C596" t="inlineStr">
        <is>
          <t>CommerciallySensitiveInformation</t>
        </is>
      </c>
      <c r="D596" s="6" t="inlineStr">
        <is>
          <t>No Commercially Sensitive Information</t>
        </is>
      </c>
      <c r="E596" s="6" t="inlineStr">
        <is>
          <t>No Commercially Sensitive Information</t>
        </is>
      </c>
      <c r="F596" s="12" t="inlineStr">
        <is>
          <t>PASS</t>
        </is>
      </c>
      <c r="G596" t="inlineStr">
        <is>
          <t>BIM-core.CommerciallySensitiveInformation</t>
        </is>
      </c>
      <c r="H596" s="6" t="n"/>
    </row>
    <row r="597">
      <c r="A597" t="inlineStr">
        <is>
          <t>FUEL_APPLICATION</t>
        </is>
      </c>
      <c r="B597" t="inlineStr">
        <is>
          <t>Entity</t>
        </is>
      </c>
      <c r="C597" t="inlineStr">
        <is>
          <t>Criticality</t>
        </is>
      </c>
      <c r="D597" s="6" t="inlineStr">
        <is>
          <t>No Critical Data</t>
        </is>
      </c>
      <c r="E597" s="6" t="inlineStr">
        <is>
          <t>No Critical Data</t>
        </is>
      </c>
      <c r="F597" s="12" t="inlineStr">
        <is>
          <t>PASS</t>
        </is>
      </c>
      <c r="G597" t="inlineStr">
        <is>
          <t>BIM-core.Criticality</t>
        </is>
      </c>
      <c r="H597" s="6" t="n"/>
    </row>
    <row r="598">
      <c r="A598" t="inlineStr">
        <is>
          <t>FUEL_APPLICATION</t>
        </is>
      </c>
      <c r="B598" t="inlineStr">
        <is>
          <t>Entity</t>
        </is>
      </c>
      <c r="C598" t="inlineStr">
        <is>
          <t>DataCategory</t>
        </is>
      </c>
      <c r="D598" s="6" t="inlineStr">
        <is>
          <t>Structured</t>
        </is>
      </c>
      <c r="E598" s="6" t="inlineStr">
        <is>
          <t>Structured</t>
        </is>
      </c>
      <c r="F598" s="12" t="inlineStr">
        <is>
          <t>PASS</t>
        </is>
      </c>
      <c r="G598" t="inlineStr">
        <is>
          <t>BIM-core.DataCategory</t>
        </is>
      </c>
      <c r="H598" s="6" t="n"/>
    </row>
    <row r="599">
      <c r="A599" t="inlineStr">
        <is>
          <t>FUEL_APPLICATION</t>
        </is>
      </c>
      <c r="B599" t="inlineStr">
        <is>
          <t>Entity</t>
        </is>
      </c>
      <c r="C599" t="inlineStr">
        <is>
          <t>DataConfidentiality</t>
        </is>
      </c>
      <c r="D599" s="6" t="inlineStr">
        <is>
          <t>Internal</t>
        </is>
      </c>
      <c r="E599" s="6" t="inlineStr">
        <is>
          <t>Internal</t>
        </is>
      </c>
      <c r="F599" s="12" t="inlineStr">
        <is>
          <t>PASS</t>
        </is>
      </c>
      <c r="G599" t="inlineStr">
        <is>
          <t>BIM-core.DataConfidentiality</t>
        </is>
      </c>
      <c r="H599" s="6" t="n"/>
    </row>
    <row r="600">
      <c r="A600" t="inlineStr">
        <is>
          <t>FUEL_APPLICATION</t>
        </is>
      </c>
      <c r="B600" t="inlineStr">
        <is>
          <t>Entity</t>
        </is>
      </c>
      <c r="C600" t="inlineStr">
        <is>
          <t>DesignStatus</t>
        </is>
      </c>
      <c r="D600" s="6" t="inlineStr">
        <is>
          <t>Approved</t>
        </is>
      </c>
      <c r="E600" s="6" t="inlineStr">
        <is>
          <t>Approved</t>
        </is>
      </c>
      <c r="F600" s="12" t="inlineStr">
        <is>
          <t>PASS</t>
        </is>
      </c>
      <c r="G600" t="inlineStr">
        <is>
          <t>BIM-core.DesignStatus</t>
        </is>
      </c>
      <c r="H600" s="6" t="n"/>
    </row>
    <row r="601">
      <c r="A601" t="inlineStr">
        <is>
          <t>FUEL_APPLICATION</t>
        </is>
      </c>
      <c r="B601" t="inlineStr">
        <is>
          <t>Entity</t>
        </is>
      </c>
      <c r="C601" t="inlineStr">
        <is>
          <t>EntityCategory</t>
        </is>
      </c>
      <c r="D601" s="6" t="inlineStr">
        <is>
          <t>Master</t>
        </is>
      </c>
      <c r="E601" s="6" t="inlineStr">
        <is>
          <t>Master</t>
        </is>
      </c>
      <c r="F601" s="12" t="inlineStr">
        <is>
          <t>PASS</t>
        </is>
      </c>
      <c r="G601" t="inlineStr">
        <is>
          <t>BIM-core.EntityCategory</t>
        </is>
      </c>
      <c r="H601" s="6" t="n"/>
    </row>
    <row r="602">
      <c r="A602" t="inlineStr">
        <is>
          <t>FUEL_APPLICATION</t>
        </is>
      </c>
      <c r="B602" t="inlineStr">
        <is>
          <t>Entity</t>
        </is>
      </c>
      <c r="C602" t="inlineStr">
        <is>
          <t>EntityPersonalData</t>
        </is>
      </c>
      <c r="D602" s="6" t="inlineStr">
        <is>
          <t>No Personal Data</t>
        </is>
      </c>
      <c r="E602" s="6" t="inlineStr">
        <is>
          <t>No Personal Data</t>
        </is>
      </c>
      <c r="F602" s="12" t="inlineStr">
        <is>
          <t>PASS</t>
        </is>
      </c>
      <c r="G602" t="inlineStr">
        <is>
          <t>BIM-core.EntityPersonalData</t>
        </is>
      </c>
      <c r="H602" s="6" t="n"/>
    </row>
    <row r="603">
      <c r="A603" t="inlineStr">
        <is>
          <t>FUEL_APPLICATION</t>
        </is>
      </c>
      <c r="B603" t="inlineStr">
        <is>
          <t>Entity</t>
        </is>
      </c>
      <c r="C603" t="inlineStr">
        <is>
          <t>FinancialPersonalData</t>
        </is>
      </c>
      <c r="D603" s="6" t="inlineStr">
        <is>
          <t>No Financial Personal Data</t>
        </is>
      </c>
      <c r="E603" s="6" t="inlineStr">
        <is>
          <t>No Financial Personal Data</t>
        </is>
      </c>
      <c r="F603" s="12" t="inlineStr">
        <is>
          <t>PASS</t>
        </is>
      </c>
      <c r="G603" t="inlineStr">
        <is>
          <t>BIM-core.FinancialPersonalData</t>
        </is>
      </c>
      <c r="H603" s="6" t="n"/>
    </row>
    <row r="604">
      <c r="A604" t="inlineStr">
        <is>
          <t>FUEL_APPLICATION</t>
        </is>
      </c>
      <c r="B604" t="inlineStr">
        <is>
          <t>Entity</t>
        </is>
      </c>
      <c r="C604" t="inlineStr">
        <is>
          <t>MTED_Encryption_Required</t>
        </is>
      </c>
      <c r="D604" s="6" t="inlineStr">
        <is>
          <t>false</t>
        </is>
      </c>
      <c r="E604" s="6" t="inlineStr">
        <is>
          <t>false</t>
        </is>
      </c>
      <c r="F604" s="12" t="inlineStr">
        <is>
          <t>PASS</t>
        </is>
      </c>
      <c r="G604" t="inlineStr">
        <is>
          <t>SHL_LDM_EntityPropertyExtension.MTED_Encryption_Required</t>
        </is>
      </c>
      <c r="H604" s="6" t="n"/>
    </row>
    <row r="605">
      <c r="A605" t="inlineStr">
        <is>
          <t>FUEL_APPLICATION</t>
        </is>
      </c>
      <c r="B605" t="inlineStr">
        <is>
          <t>Entity</t>
        </is>
      </c>
      <c r="C605" t="inlineStr">
        <is>
          <t>MappingLevel</t>
        </is>
      </c>
      <c r="D605" s="6" t="inlineStr">
        <is>
          <t>BLM</t>
        </is>
      </c>
      <c r="E605" s="6" t="inlineStr">
        <is>
          <t>BLM</t>
        </is>
      </c>
      <c r="F605" s="12" t="inlineStr">
        <is>
          <t>PASS</t>
        </is>
      </c>
      <c r="G605" t="inlineStr">
        <is>
          <t>BIM-core.MappingLevel</t>
        </is>
      </c>
      <c r="H605" s="6" t="n"/>
    </row>
    <row r="606">
      <c r="A606" t="inlineStr">
        <is>
          <t>FUEL_APPLICATION</t>
        </is>
      </c>
      <c r="B606" t="inlineStr">
        <is>
          <t>Entity</t>
        </is>
      </c>
      <c r="C606" t="inlineStr">
        <is>
          <t>MapsToEntity</t>
        </is>
      </c>
      <c r="D606" s="6" t="inlineStr">
        <is>
          <t>FUEL_APPLICATION</t>
        </is>
      </c>
      <c r="E606" s="6" t="inlineStr">
        <is>
          <t>FUEL_APPLICATION</t>
        </is>
      </c>
      <c r="F606" s="12" t="inlineStr">
        <is>
          <t>PASS</t>
        </is>
      </c>
      <c r="G606" t="inlineStr">
        <is>
          <t>BIM-core.MapsToEntity</t>
        </is>
      </c>
      <c r="H606" s="6" t="n"/>
    </row>
    <row r="607">
      <c r="A607" t="inlineStr">
        <is>
          <t>FUEL_APPLICATION</t>
        </is>
      </c>
      <c r="B607" t="inlineStr">
        <is>
          <t>Entity</t>
        </is>
      </c>
      <c r="C607" t="inlineStr">
        <is>
          <t>PD_ObjectID</t>
        </is>
      </c>
      <c r="D607" s="6" t="inlineStr">
        <is>
          <t>4469C7F7-62AE-4565-BE90-93003D951FA8</t>
        </is>
      </c>
      <c r="E607" s="6" t="inlineStr">
        <is>
          <t>4469C7F7-62AE-4565-BE90-93003D951FA8</t>
        </is>
      </c>
      <c r="F607" s="12" t="inlineStr">
        <is>
          <t>PASS</t>
        </is>
      </c>
      <c r="H607" s="6" t="n"/>
    </row>
    <row r="608">
      <c r="A608" t="inlineStr">
        <is>
          <t>FUEL_APPLICATION</t>
        </is>
      </c>
      <c r="B608" t="inlineStr">
        <is>
          <t>Entity</t>
        </is>
      </c>
      <c r="C608" t="inlineStr">
        <is>
          <t>PD_SourceExtraction</t>
        </is>
      </c>
      <c r="D608" s="6" t="inlineStr">
        <is>
          <t>46603045</t>
        </is>
      </c>
      <c r="E608" s="6" t="inlineStr">
        <is>
          <t>46603045</t>
        </is>
      </c>
      <c r="F608" s="12" t="inlineStr">
        <is>
          <t>PASS</t>
        </is>
      </c>
      <c r="H608" s="6" t="n"/>
    </row>
    <row r="609">
      <c r="A609" t="inlineStr">
        <is>
          <t>FUEL_APPLICATION</t>
        </is>
      </c>
      <c r="B609" t="inlineStr">
        <is>
          <t>Entity</t>
        </is>
      </c>
      <c r="C609" t="inlineStr">
        <is>
          <t>PD_SourceModel</t>
        </is>
      </c>
      <c r="D609" s="6" t="inlineStr">
        <is>
          <t>05_Carbon_Calculator</t>
        </is>
      </c>
      <c r="E609" s="6" t="inlineStr">
        <is>
          <t>05_Carbon_Calculator</t>
        </is>
      </c>
      <c r="F609" s="12" t="inlineStr">
        <is>
          <t>PASS</t>
        </is>
      </c>
      <c r="H609" s="6" t="n"/>
    </row>
    <row r="610">
      <c r="A610" t="inlineStr">
        <is>
          <t>FUEL_APPLICATION</t>
        </is>
      </c>
      <c r="B610" t="inlineStr">
        <is>
          <t>Entity</t>
        </is>
      </c>
      <c r="C610" t="inlineStr">
        <is>
          <t>SensitivePersonalData</t>
        </is>
      </c>
      <c r="D610" s="6" t="inlineStr">
        <is>
          <t>No Sensitive Personal Data</t>
        </is>
      </c>
      <c r="E610" s="6" t="inlineStr">
        <is>
          <t>No Sensitive Personal Data</t>
        </is>
      </c>
      <c r="F610" s="12" t="inlineStr">
        <is>
          <t>PASS</t>
        </is>
      </c>
      <c r="G610" t="inlineStr">
        <is>
          <t>BIM-core.SensitivePersonalData</t>
        </is>
      </c>
      <c r="H610" s="6" t="n"/>
    </row>
    <row r="611">
      <c r="A611" t="inlineStr">
        <is>
          <t>FUEL_CONSUMPTION</t>
        </is>
      </c>
      <c r="B611" t="inlineStr">
        <is>
          <t>Entity</t>
        </is>
      </c>
      <c r="C611" t="inlineStr">
        <is>
          <t>CommerciallySensitiveInformation</t>
        </is>
      </c>
      <c r="D611" s="6" t="inlineStr">
        <is>
          <t>No Commercially Sensitive Information</t>
        </is>
      </c>
      <c r="E611" s="6" t="inlineStr">
        <is>
          <t>No Commercially Sensitive Information</t>
        </is>
      </c>
      <c r="F611" s="12" t="inlineStr">
        <is>
          <t>PASS</t>
        </is>
      </c>
      <c r="G611" t="inlineStr">
        <is>
          <t>BIM-core.CommerciallySensitiveInformation</t>
        </is>
      </c>
      <c r="H611" s="6" t="n"/>
    </row>
    <row r="612">
      <c r="A612" t="inlineStr">
        <is>
          <t>FUEL_CONSUMPTION</t>
        </is>
      </c>
      <c r="B612" t="inlineStr">
        <is>
          <t>Entity</t>
        </is>
      </c>
      <c r="C612" t="inlineStr">
        <is>
          <t>Criticality</t>
        </is>
      </c>
      <c r="D612" s="6" t="inlineStr">
        <is>
          <t>No Critical Data</t>
        </is>
      </c>
      <c r="E612" s="6" t="inlineStr">
        <is>
          <t>No Critical Data</t>
        </is>
      </c>
      <c r="F612" s="12" t="inlineStr">
        <is>
          <t>PASS</t>
        </is>
      </c>
      <c r="G612" t="inlineStr">
        <is>
          <t>BIM-core.Criticality</t>
        </is>
      </c>
      <c r="H612" s="6" t="n"/>
    </row>
    <row r="613">
      <c r="A613" t="inlineStr">
        <is>
          <t>FUEL_CONSUMPTION</t>
        </is>
      </c>
      <c r="B613" t="inlineStr">
        <is>
          <t>Entity</t>
        </is>
      </c>
      <c r="C613" t="inlineStr">
        <is>
          <t>DataCategory</t>
        </is>
      </c>
      <c r="D613" s="6" t="inlineStr">
        <is>
          <t>Structured</t>
        </is>
      </c>
      <c r="E613" s="6" t="inlineStr">
        <is>
          <t>Structured</t>
        </is>
      </c>
      <c r="F613" s="12" t="inlineStr">
        <is>
          <t>PASS</t>
        </is>
      </c>
      <c r="G613" t="inlineStr">
        <is>
          <t>BIM-core.DataCategory</t>
        </is>
      </c>
      <c r="H613" s="6" t="n"/>
    </row>
    <row r="614">
      <c r="A614" t="inlineStr">
        <is>
          <t>FUEL_CONSUMPTION</t>
        </is>
      </c>
      <c r="B614" t="inlineStr">
        <is>
          <t>Entity</t>
        </is>
      </c>
      <c r="C614" t="inlineStr">
        <is>
          <t>DataConfidentiality</t>
        </is>
      </c>
      <c r="D614" s="6" t="inlineStr">
        <is>
          <t>Internal</t>
        </is>
      </c>
      <c r="E614" s="6" t="inlineStr">
        <is>
          <t>Internal</t>
        </is>
      </c>
      <c r="F614" s="12" t="inlineStr">
        <is>
          <t>PASS</t>
        </is>
      </c>
      <c r="G614" t="inlineStr">
        <is>
          <t>BIM-core.DataConfidentiality</t>
        </is>
      </c>
      <c r="H614" s="6" t="n"/>
    </row>
    <row r="615">
      <c r="A615" t="inlineStr">
        <is>
          <t>FUEL_CONSUMPTION</t>
        </is>
      </c>
      <c r="B615" t="inlineStr">
        <is>
          <t>Entity</t>
        </is>
      </c>
      <c r="C615" t="inlineStr">
        <is>
          <t>DesignStatus</t>
        </is>
      </c>
      <c r="D615" s="6" t="inlineStr">
        <is>
          <t>Approved</t>
        </is>
      </c>
      <c r="E615" s="6" t="inlineStr">
        <is>
          <t>Approved</t>
        </is>
      </c>
      <c r="F615" s="12" t="inlineStr">
        <is>
          <t>PASS</t>
        </is>
      </c>
      <c r="G615" t="inlineStr">
        <is>
          <t>BIM-core.DesignStatus</t>
        </is>
      </c>
      <c r="H615" s="6" t="n"/>
    </row>
    <row r="616">
      <c r="A616" t="inlineStr">
        <is>
          <t>FUEL_CONSUMPTION</t>
        </is>
      </c>
      <c r="B616" t="inlineStr">
        <is>
          <t>Entity</t>
        </is>
      </c>
      <c r="C616" t="inlineStr">
        <is>
          <t>EntityCategory</t>
        </is>
      </c>
      <c r="D616" s="6" t="inlineStr">
        <is>
          <t>Master</t>
        </is>
      </c>
      <c r="E616" s="6" t="inlineStr">
        <is>
          <t>Master</t>
        </is>
      </c>
      <c r="F616" s="12" t="inlineStr">
        <is>
          <t>PASS</t>
        </is>
      </c>
      <c r="G616" t="inlineStr">
        <is>
          <t>BIM-core.EntityCategory</t>
        </is>
      </c>
      <c r="H616" s="6" t="n"/>
    </row>
    <row r="617">
      <c r="A617" t="inlineStr">
        <is>
          <t>FUEL_CONSUMPTION</t>
        </is>
      </c>
      <c r="B617" t="inlineStr">
        <is>
          <t>Entity</t>
        </is>
      </c>
      <c r="C617" t="inlineStr">
        <is>
          <t>EntityPersonalData</t>
        </is>
      </c>
      <c r="D617" s="6" t="inlineStr">
        <is>
          <t>No Personal Data</t>
        </is>
      </c>
      <c r="E617" s="6" t="inlineStr">
        <is>
          <t>No Personal Data</t>
        </is>
      </c>
      <c r="F617" s="12" t="inlineStr">
        <is>
          <t>PASS</t>
        </is>
      </c>
      <c r="G617" t="inlineStr">
        <is>
          <t>BIM-core.EntityPersonalData</t>
        </is>
      </c>
      <c r="H617" s="6" t="n"/>
    </row>
    <row r="618">
      <c r="A618" t="inlineStr">
        <is>
          <t>FUEL_CONSUMPTION</t>
        </is>
      </c>
      <c r="B618" t="inlineStr">
        <is>
          <t>Entity</t>
        </is>
      </c>
      <c r="C618" t="inlineStr">
        <is>
          <t>FinancialPersonalData</t>
        </is>
      </c>
      <c r="D618" s="6" t="inlineStr">
        <is>
          <t>No Financial Personal Data</t>
        </is>
      </c>
      <c r="E618" s="6" t="inlineStr">
        <is>
          <t>No Financial Personal Data</t>
        </is>
      </c>
      <c r="F618" s="12" t="inlineStr">
        <is>
          <t>PASS</t>
        </is>
      </c>
      <c r="G618" t="inlineStr">
        <is>
          <t>BIM-core.FinancialPersonalData</t>
        </is>
      </c>
      <c r="H618" s="6" t="n"/>
    </row>
    <row r="619">
      <c r="A619" t="inlineStr">
        <is>
          <t>FUEL_CONSUMPTION</t>
        </is>
      </c>
      <c r="B619" t="inlineStr">
        <is>
          <t>Entity</t>
        </is>
      </c>
      <c r="C619" t="inlineStr">
        <is>
          <t>MappingLevel</t>
        </is>
      </c>
      <c r="D619" s="6" t="inlineStr">
        <is>
          <t>BLM</t>
        </is>
      </c>
      <c r="E619" s="6" t="inlineStr">
        <is>
          <t>BLM</t>
        </is>
      </c>
      <c r="F619" s="12" t="inlineStr">
        <is>
          <t>PASS</t>
        </is>
      </c>
      <c r="G619" t="inlineStr">
        <is>
          <t>BIM-core.MappingLevel</t>
        </is>
      </c>
      <c r="H619" s="6" t="n"/>
    </row>
    <row r="620">
      <c r="A620" t="inlineStr">
        <is>
          <t>FUEL_CONSUMPTION</t>
        </is>
      </c>
      <c r="B620" t="inlineStr">
        <is>
          <t>Entity</t>
        </is>
      </c>
      <c r="C620" t="inlineStr">
        <is>
          <t>MapsToEntity</t>
        </is>
      </c>
      <c r="D620" s="6" t="inlineStr">
        <is>
          <t>APPLICATION_EQUIPMENT_PERFORMANCE</t>
        </is>
      </c>
      <c r="E620" s="6" t="inlineStr">
        <is>
          <t>APPLICATION_EQUIPMENT_PERFORMANCE</t>
        </is>
      </c>
      <c r="F620" s="12" t="inlineStr">
        <is>
          <t>PASS</t>
        </is>
      </c>
      <c r="G620" t="inlineStr">
        <is>
          <t>BIM-core.MapsToEntity</t>
        </is>
      </c>
      <c r="H620" s="6" t="n"/>
    </row>
    <row r="621">
      <c r="A621" t="inlineStr">
        <is>
          <t>FUEL_CONSUMPTION</t>
        </is>
      </c>
      <c r="B621" t="inlineStr">
        <is>
          <t>Entity</t>
        </is>
      </c>
      <c r="C621" t="inlineStr">
        <is>
          <t>PD_ObjectID</t>
        </is>
      </c>
      <c r="D621" s="6" t="inlineStr">
        <is>
          <t>68809599-5BE5-4175-AC1B-510DDE5D9231</t>
        </is>
      </c>
      <c r="E621" s="6" t="inlineStr">
        <is>
          <t>68809599-5BE5-4175-AC1B-510DDE5D9231</t>
        </is>
      </c>
      <c r="F621" s="12" t="inlineStr">
        <is>
          <t>PASS</t>
        </is>
      </c>
      <c r="H621" s="6" t="n"/>
    </row>
    <row r="622">
      <c r="A622" t="inlineStr">
        <is>
          <t>FUEL_CONSUMPTION</t>
        </is>
      </c>
      <c r="B622" t="inlineStr">
        <is>
          <t>Entity</t>
        </is>
      </c>
      <c r="C622" t="inlineStr">
        <is>
          <t>PD_SourceExtraction</t>
        </is>
      </c>
      <c r="D622" s="6" t="inlineStr">
        <is>
          <t>46603045</t>
        </is>
      </c>
      <c r="E622" s="6" t="inlineStr">
        <is>
          <t>46603045</t>
        </is>
      </c>
      <c r="F622" s="12" t="inlineStr">
        <is>
          <t>PASS</t>
        </is>
      </c>
      <c r="H622" s="6" t="n"/>
    </row>
    <row r="623">
      <c r="A623" t="inlineStr">
        <is>
          <t>FUEL_CONSUMPTION</t>
        </is>
      </c>
      <c r="B623" t="inlineStr">
        <is>
          <t>Entity</t>
        </is>
      </c>
      <c r="C623" t="inlineStr">
        <is>
          <t>PD_SourceModel</t>
        </is>
      </c>
      <c r="D623" s="6" t="inlineStr">
        <is>
          <t>05_Carbon_Calculator</t>
        </is>
      </c>
      <c r="E623" s="6" t="inlineStr">
        <is>
          <t>05_Carbon_Calculator</t>
        </is>
      </c>
      <c r="F623" s="12" t="inlineStr">
        <is>
          <t>PASS</t>
        </is>
      </c>
      <c r="H623" s="6" t="n"/>
    </row>
    <row r="624">
      <c r="A624" t="inlineStr">
        <is>
          <t>FUEL_CONSUMPTION</t>
        </is>
      </c>
      <c r="B624" t="inlineStr">
        <is>
          <t>Entity</t>
        </is>
      </c>
      <c r="C624" t="inlineStr">
        <is>
          <t>SensitivePersonalData</t>
        </is>
      </c>
      <c r="D624" s="6" t="inlineStr">
        <is>
          <t>No Sensitive Personal Data</t>
        </is>
      </c>
      <c r="E624" s="6" t="inlineStr">
        <is>
          <t>No Sensitive Personal Data</t>
        </is>
      </c>
      <c r="F624" s="12" t="inlineStr">
        <is>
          <t>PASS</t>
        </is>
      </c>
      <c r="G624" t="inlineStr">
        <is>
          <t>BIM-core.SensitivePersonalData</t>
        </is>
      </c>
      <c r="H624" s="6" t="n"/>
    </row>
    <row r="625">
      <c r="A625" t="inlineStr">
        <is>
          <t>FUEL_CONSUMPTION_ARCHETYPE</t>
        </is>
      </c>
      <c r="B625" t="inlineStr">
        <is>
          <t>Entity</t>
        </is>
      </c>
      <c r="C625" t="inlineStr">
        <is>
          <t>CommerciallySensitiveInformation</t>
        </is>
      </c>
      <c r="D625" s="6" t="inlineStr">
        <is>
          <t>No Commercially Sensitive Information</t>
        </is>
      </c>
      <c r="E625" s="6" t="inlineStr">
        <is>
          <t>No Commercially Sensitive Information</t>
        </is>
      </c>
      <c r="F625" s="12" t="inlineStr">
        <is>
          <t>PASS</t>
        </is>
      </c>
      <c r="G625" t="inlineStr">
        <is>
          <t>BIM-core.CommerciallySensitiveInformation</t>
        </is>
      </c>
      <c r="H625" s="6" t="n"/>
    </row>
    <row r="626">
      <c r="A626" t="inlineStr">
        <is>
          <t>FUEL_CONSUMPTION_ARCHETYPE</t>
        </is>
      </c>
      <c r="B626" t="inlineStr">
        <is>
          <t>Entity</t>
        </is>
      </c>
      <c r="C626" t="inlineStr">
        <is>
          <t>Criticality</t>
        </is>
      </c>
      <c r="D626" s="6" t="inlineStr">
        <is>
          <t>No Critical Data</t>
        </is>
      </c>
      <c r="E626" s="6" t="inlineStr">
        <is>
          <t>No Critical Data</t>
        </is>
      </c>
      <c r="F626" s="12" t="inlineStr">
        <is>
          <t>PASS</t>
        </is>
      </c>
      <c r="G626" t="inlineStr">
        <is>
          <t>BIM-core.Criticality</t>
        </is>
      </c>
      <c r="H626" s="6" t="n"/>
    </row>
    <row r="627">
      <c r="A627" t="inlineStr">
        <is>
          <t>FUEL_CONSUMPTION_ARCHETYPE</t>
        </is>
      </c>
      <c r="B627" t="inlineStr">
        <is>
          <t>Entity</t>
        </is>
      </c>
      <c r="C627" t="inlineStr">
        <is>
          <t>DataCategory</t>
        </is>
      </c>
      <c r="D627" s="6" t="inlineStr">
        <is>
          <t>Structured</t>
        </is>
      </c>
      <c r="E627" s="6" t="inlineStr">
        <is>
          <t>Structured</t>
        </is>
      </c>
      <c r="F627" s="12" t="inlineStr">
        <is>
          <t>PASS</t>
        </is>
      </c>
      <c r="G627" t="inlineStr">
        <is>
          <t>BIM-core.DataCategory</t>
        </is>
      </c>
      <c r="H627" s="6" t="n"/>
    </row>
    <row r="628">
      <c r="A628" t="inlineStr">
        <is>
          <t>FUEL_CONSUMPTION_ARCHETYPE</t>
        </is>
      </c>
      <c r="B628" t="inlineStr">
        <is>
          <t>Entity</t>
        </is>
      </c>
      <c r="C628" t="inlineStr">
        <is>
          <t>DataConfidentiality</t>
        </is>
      </c>
      <c r="D628" s="6" t="inlineStr">
        <is>
          <t>Internal</t>
        </is>
      </c>
      <c r="E628" s="6" t="inlineStr">
        <is>
          <t>Internal</t>
        </is>
      </c>
      <c r="F628" s="12" t="inlineStr">
        <is>
          <t>PASS</t>
        </is>
      </c>
      <c r="G628" t="inlineStr">
        <is>
          <t>BIM-core.DataConfidentiality</t>
        </is>
      </c>
      <c r="H628" s="6" t="n"/>
    </row>
    <row r="629">
      <c r="A629" t="inlineStr">
        <is>
          <t>FUEL_CONSUMPTION_ARCHETYPE</t>
        </is>
      </c>
      <c r="B629" t="inlineStr">
        <is>
          <t>Entity</t>
        </is>
      </c>
      <c r="C629" t="inlineStr">
        <is>
          <t>DesignStatus</t>
        </is>
      </c>
      <c r="D629" s="6" t="inlineStr">
        <is>
          <t>Approved</t>
        </is>
      </c>
      <c r="E629" s="6" t="inlineStr">
        <is>
          <t>Approved</t>
        </is>
      </c>
      <c r="F629" s="12" t="inlineStr">
        <is>
          <t>PASS</t>
        </is>
      </c>
      <c r="G629" t="inlineStr">
        <is>
          <t>BIM-core.DesignStatus</t>
        </is>
      </c>
      <c r="H629" s="6" t="n"/>
    </row>
    <row r="630">
      <c r="A630" t="inlineStr">
        <is>
          <t>FUEL_CONSUMPTION_ARCHETYPE</t>
        </is>
      </c>
      <c r="B630" t="inlineStr">
        <is>
          <t>Entity</t>
        </is>
      </c>
      <c r="C630" t="inlineStr">
        <is>
          <t>EntityCategory</t>
        </is>
      </c>
      <c r="D630" s="6" t="inlineStr">
        <is>
          <t>Master</t>
        </is>
      </c>
      <c r="E630" s="6" t="inlineStr">
        <is>
          <t>Master</t>
        </is>
      </c>
      <c r="F630" s="12" t="inlineStr">
        <is>
          <t>PASS</t>
        </is>
      </c>
      <c r="G630" t="inlineStr">
        <is>
          <t>BIM-core.EntityCategory</t>
        </is>
      </c>
      <c r="H630" s="6" t="n"/>
    </row>
    <row r="631">
      <c r="A631" t="inlineStr">
        <is>
          <t>FUEL_CONSUMPTION_ARCHETYPE</t>
        </is>
      </c>
      <c r="B631" t="inlineStr">
        <is>
          <t>Entity</t>
        </is>
      </c>
      <c r="C631" t="inlineStr">
        <is>
          <t>EntityPersonalData</t>
        </is>
      </c>
      <c r="D631" s="6" t="inlineStr">
        <is>
          <t>No Personal Data</t>
        </is>
      </c>
      <c r="E631" s="6" t="inlineStr">
        <is>
          <t>No Personal Data</t>
        </is>
      </c>
      <c r="F631" s="12" t="inlineStr">
        <is>
          <t>PASS</t>
        </is>
      </c>
      <c r="G631" t="inlineStr">
        <is>
          <t>BIM-core.EntityPersonalData</t>
        </is>
      </c>
      <c r="H631" s="6" t="n"/>
    </row>
    <row r="632">
      <c r="A632" t="inlineStr">
        <is>
          <t>FUEL_CONSUMPTION_ARCHETYPE</t>
        </is>
      </c>
      <c r="B632" t="inlineStr">
        <is>
          <t>Entity</t>
        </is>
      </c>
      <c r="C632" t="inlineStr">
        <is>
          <t>FinancialPersonalData</t>
        </is>
      </c>
      <c r="D632" s="6" t="inlineStr">
        <is>
          <t>No Financial Personal Data</t>
        </is>
      </c>
      <c r="E632" s="6" t="inlineStr">
        <is>
          <t>No Financial Personal Data</t>
        </is>
      </c>
      <c r="F632" s="12" t="inlineStr">
        <is>
          <t>PASS</t>
        </is>
      </c>
      <c r="G632" t="inlineStr">
        <is>
          <t>BIM-core.FinancialPersonalData</t>
        </is>
      </c>
      <c r="H632" s="6" t="n"/>
    </row>
    <row r="633">
      <c r="A633" t="inlineStr">
        <is>
          <t>FUEL_CONSUMPTION_ARCHETYPE</t>
        </is>
      </c>
      <c r="B633" t="inlineStr">
        <is>
          <t>Entity</t>
        </is>
      </c>
      <c r="C633" t="inlineStr">
        <is>
          <t>MappingLevel</t>
        </is>
      </c>
      <c r="D633" s="6" t="inlineStr">
        <is>
          <t>BLM</t>
        </is>
      </c>
      <c r="E633" s="6" t="inlineStr">
        <is>
          <t>BLM</t>
        </is>
      </c>
      <c r="F633" s="12" t="inlineStr">
        <is>
          <t>PASS</t>
        </is>
      </c>
      <c r="G633" t="inlineStr">
        <is>
          <t>BIM-core.MappingLevel</t>
        </is>
      </c>
      <c r="H633" s="6" t="n"/>
    </row>
    <row r="634">
      <c r="A634" t="inlineStr">
        <is>
          <t>FUEL_CONSUMPTION_ARCHETYPE</t>
        </is>
      </c>
      <c r="B634" t="inlineStr">
        <is>
          <t>Entity</t>
        </is>
      </c>
      <c r="C634" t="inlineStr">
        <is>
          <t>MapsToEntity</t>
        </is>
      </c>
      <c r="D634" s="6" t="inlineStr">
        <is>
          <t>APPLICATION_PERFORMANCE_ARCHETYPE</t>
        </is>
      </c>
      <c r="E634" s="6" t="inlineStr">
        <is>
          <t>APPLICATION_PERFORMANCE_ARCHETYPE</t>
        </is>
      </c>
      <c r="F634" s="12" t="inlineStr">
        <is>
          <t>PASS</t>
        </is>
      </c>
      <c r="G634" t="inlineStr">
        <is>
          <t>BIM-core.MapsToEntity</t>
        </is>
      </c>
      <c r="H634" s="6" t="n"/>
    </row>
    <row r="635">
      <c r="A635" t="inlineStr">
        <is>
          <t>FUEL_CONSUMPTION_ARCHETYPE</t>
        </is>
      </c>
      <c r="B635" t="inlineStr">
        <is>
          <t>Entity</t>
        </is>
      </c>
      <c r="C635" t="inlineStr">
        <is>
          <t>PD_ObjectID</t>
        </is>
      </c>
      <c r="D635" s="6" t="inlineStr">
        <is>
          <t>47EDAB0C-5B08-4AF2-9EF3-C3DCB3F98B81</t>
        </is>
      </c>
      <c r="E635" s="6" t="inlineStr">
        <is>
          <t>47EDAB0C-5B08-4AF2-9EF3-C3DCB3F98B81</t>
        </is>
      </c>
      <c r="F635" s="12" t="inlineStr">
        <is>
          <t>PASS</t>
        </is>
      </c>
      <c r="H635" s="6" t="n"/>
    </row>
    <row r="636">
      <c r="A636" t="inlineStr">
        <is>
          <t>FUEL_CONSUMPTION_ARCHETYPE</t>
        </is>
      </c>
      <c r="B636" t="inlineStr">
        <is>
          <t>Entity</t>
        </is>
      </c>
      <c r="C636" t="inlineStr">
        <is>
          <t>PD_SourceExtraction</t>
        </is>
      </c>
      <c r="D636" s="6" t="inlineStr">
        <is>
          <t>46603045</t>
        </is>
      </c>
      <c r="E636" s="6" t="inlineStr">
        <is>
          <t>46603045</t>
        </is>
      </c>
      <c r="F636" s="12" t="inlineStr">
        <is>
          <t>PASS</t>
        </is>
      </c>
      <c r="H636" s="6" t="n"/>
    </row>
    <row r="637">
      <c r="A637" t="inlineStr">
        <is>
          <t>FUEL_CONSUMPTION_ARCHETYPE</t>
        </is>
      </c>
      <c r="B637" t="inlineStr">
        <is>
          <t>Entity</t>
        </is>
      </c>
      <c r="C637" t="inlineStr">
        <is>
          <t>PD_SourceModel</t>
        </is>
      </c>
      <c r="D637" s="6" t="inlineStr">
        <is>
          <t>05_Carbon_Calculator</t>
        </is>
      </c>
      <c r="E637" s="6" t="inlineStr">
        <is>
          <t>05_Carbon_Calculator</t>
        </is>
      </c>
      <c r="F637" s="12" t="inlineStr">
        <is>
          <t>PASS</t>
        </is>
      </c>
      <c r="H637" s="6" t="n"/>
    </row>
    <row r="638">
      <c r="A638" t="inlineStr">
        <is>
          <t>FUEL_CONSUMPTION_ARCHETYPE</t>
        </is>
      </c>
      <c r="B638" t="inlineStr">
        <is>
          <t>Entity</t>
        </is>
      </c>
      <c r="C638" t="inlineStr">
        <is>
          <t>SensitivePersonalData</t>
        </is>
      </c>
      <c r="D638" s="6" t="inlineStr">
        <is>
          <t>No Sensitive Personal Data</t>
        </is>
      </c>
      <c r="E638" s="6" t="inlineStr">
        <is>
          <t>No Sensitive Personal Data</t>
        </is>
      </c>
      <c r="F638" s="12" t="inlineStr">
        <is>
          <t>PASS</t>
        </is>
      </c>
      <c r="G638" t="inlineStr">
        <is>
          <t>BIM-core.SensitivePersonalData</t>
        </is>
      </c>
      <c r="H638" s="6" t="n"/>
    </row>
    <row r="639">
      <c r="A639" t="inlineStr">
        <is>
          <t>FUEL_CONSUMPTION_VALUE</t>
        </is>
      </c>
      <c r="B639" t="inlineStr">
        <is>
          <t>Entity</t>
        </is>
      </c>
      <c r="C639" t="inlineStr">
        <is>
          <t>CommerciallySensitiveInformation</t>
        </is>
      </c>
      <c r="D639" s="6" t="inlineStr">
        <is>
          <t>No Commercially Sensitive Information</t>
        </is>
      </c>
      <c r="E639" s="6" t="inlineStr">
        <is>
          <t>No Commercially Sensitive Information</t>
        </is>
      </c>
      <c r="F639" s="12" t="inlineStr">
        <is>
          <t>PASS</t>
        </is>
      </c>
      <c r="G639" t="inlineStr">
        <is>
          <t>BIM-core.CommerciallySensitiveInformation</t>
        </is>
      </c>
      <c r="H639" s="6" t="n"/>
    </row>
    <row r="640">
      <c r="A640" t="inlineStr">
        <is>
          <t>FUEL_CONSUMPTION_VALUE</t>
        </is>
      </c>
      <c r="B640" t="inlineStr">
        <is>
          <t>Entity</t>
        </is>
      </c>
      <c r="C640" t="inlineStr">
        <is>
          <t>Criticality</t>
        </is>
      </c>
      <c r="D640" s="6" t="inlineStr">
        <is>
          <t>No Critical Data</t>
        </is>
      </c>
      <c r="E640" s="6" t="inlineStr">
        <is>
          <t>No Critical Data</t>
        </is>
      </c>
      <c r="F640" s="12" t="inlineStr">
        <is>
          <t>PASS</t>
        </is>
      </c>
      <c r="G640" t="inlineStr">
        <is>
          <t>BIM-core.Criticality</t>
        </is>
      </c>
      <c r="H640" s="6" t="n"/>
    </row>
    <row r="641">
      <c r="A641" t="inlineStr">
        <is>
          <t>FUEL_CONSUMPTION_VALUE</t>
        </is>
      </c>
      <c r="B641" t="inlineStr">
        <is>
          <t>Entity</t>
        </is>
      </c>
      <c r="C641" t="inlineStr">
        <is>
          <t>DataCategory</t>
        </is>
      </c>
      <c r="D641" s="6" t="inlineStr">
        <is>
          <t>Structured</t>
        </is>
      </c>
      <c r="E641" s="6" t="inlineStr">
        <is>
          <t>Structured</t>
        </is>
      </c>
      <c r="F641" s="12" t="inlineStr">
        <is>
          <t>PASS</t>
        </is>
      </c>
      <c r="G641" t="inlineStr">
        <is>
          <t>BIM-core.DataCategory</t>
        </is>
      </c>
      <c r="H641" s="6" t="n"/>
    </row>
    <row r="642">
      <c r="A642" t="inlineStr">
        <is>
          <t>FUEL_CONSUMPTION_VALUE</t>
        </is>
      </c>
      <c r="B642" t="inlineStr">
        <is>
          <t>Entity</t>
        </is>
      </c>
      <c r="C642" t="inlineStr">
        <is>
          <t>DataConfidentiality</t>
        </is>
      </c>
      <c r="D642" s="6" t="inlineStr">
        <is>
          <t>Internal</t>
        </is>
      </c>
      <c r="E642" s="6" t="inlineStr">
        <is>
          <t>Internal</t>
        </is>
      </c>
      <c r="F642" s="12" t="inlineStr">
        <is>
          <t>PASS</t>
        </is>
      </c>
      <c r="G642" t="inlineStr">
        <is>
          <t>BIM-core.DataConfidentiality</t>
        </is>
      </c>
      <c r="H642" s="6" t="n"/>
    </row>
    <row r="643">
      <c r="A643" t="inlineStr">
        <is>
          <t>FUEL_CONSUMPTION_VALUE</t>
        </is>
      </c>
      <c r="B643" t="inlineStr">
        <is>
          <t>Entity</t>
        </is>
      </c>
      <c r="C643" t="inlineStr">
        <is>
          <t>DesignStatus</t>
        </is>
      </c>
      <c r="D643" s="6" t="inlineStr">
        <is>
          <t>Approved</t>
        </is>
      </c>
      <c r="E643" s="6" t="inlineStr">
        <is>
          <t>Approved</t>
        </is>
      </c>
      <c r="F643" s="12" t="inlineStr">
        <is>
          <t>PASS</t>
        </is>
      </c>
      <c r="G643" t="inlineStr">
        <is>
          <t>BIM-core.DesignStatus</t>
        </is>
      </c>
      <c r="H643" s="6" t="n"/>
    </row>
    <row r="644">
      <c r="A644" t="inlineStr">
        <is>
          <t>FUEL_CONSUMPTION_VALUE</t>
        </is>
      </c>
      <c r="B644" t="inlineStr">
        <is>
          <t>Entity</t>
        </is>
      </c>
      <c r="C644" t="inlineStr">
        <is>
          <t>EntityCategory</t>
        </is>
      </c>
      <c r="D644" s="6" t="inlineStr">
        <is>
          <t>Master</t>
        </is>
      </c>
      <c r="E644" s="6" t="inlineStr">
        <is>
          <t>Master</t>
        </is>
      </c>
      <c r="F644" s="12" t="inlineStr">
        <is>
          <t>PASS</t>
        </is>
      </c>
      <c r="G644" t="inlineStr">
        <is>
          <t>BIM-core.EntityCategory</t>
        </is>
      </c>
      <c r="H644" s="6" t="n"/>
    </row>
    <row r="645">
      <c r="A645" t="inlineStr">
        <is>
          <t>FUEL_CONSUMPTION_VALUE</t>
        </is>
      </c>
      <c r="B645" t="inlineStr">
        <is>
          <t>Entity</t>
        </is>
      </c>
      <c r="C645" t="inlineStr">
        <is>
          <t>EntityPersonalData</t>
        </is>
      </c>
      <c r="D645" s="6" t="inlineStr">
        <is>
          <t>No Personal Data</t>
        </is>
      </c>
      <c r="E645" s="6" t="inlineStr">
        <is>
          <t>No Personal Data</t>
        </is>
      </c>
      <c r="F645" s="12" t="inlineStr">
        <is>
          <t>PASS</t>
        </is>
      </c>
      <c r="G645" t="inlineStr">
        <is>
          <t>BIM-core.EntityPersonalData</t>
        </is>
      </c>
      <c r="H645" s="6" t="n"/>
    </row>
    <row r="646">
      <c r="A646" t="inlineStr">
        <is>
          <t>FUEL_CONSUMPTION_VALUE</t>
        </is>
      </c>
      <c r="B646" t="inlineStr">
        <is>
          <t>Entity</t>
        </is>
      </c>
      <c r="C646" t="inlineStr">
        <is>
          <t>FinancialPersonalData</t>
        </is>
      </c>
      <c r="D646" s="6" t="inlineStr">
        <is>
          <t>No Financial Personal Data</t>
        </is>
      </c>
      <c r="E646" s="6" t="inlineStr">
        <is>
          <t>No Financial Personal Data</t>
        </is>
      </c>
      <c r="F646" s="12" t="inlineStr">
        <is>
          <t>PASS</t>
        </is>
      </c>
      <c r="G646" t="inlineStr">
        <is>
          <t>BIM-core.FinancialPersonalData</t>
        </is>
      </c>
      <c r="H646" s="6" t="n"/>
    </row>
    <row r="647">
      <c r="A647" t="inlineStr">
        <is>
          <t>FUEL_CONSUMPTION_VALUE</t>
        </is>
      </c>
      <c r="B647" t="inlineStr">
        <is>
          <t>Entity</t>
        </is>
      </c>
      <c r="C647" t="inlineStr">
        <is>
          <t>MappingLevel</t>
        </is>
      </c>
      <c r="D647" s="6" t="inlineStr">
        <is>
          <t>BLM</t>
        </is>
      </c>
      <c r="E647" s="6" t="inlineStr">
        <is>
          <t>BLM</t>
        </is>
      </c>
      <c r="F647" s="12" t="inlineStr">
        <is>
          <t>PASS</t>
        </is>
      </c>
      <c r="G647" t="inlineStr">
        <is>
          <t>BIM-core.MappingLevel</t>
        </is>
      </c>
      <c r="H647" s="6" t="n"/>
    </row>
    <row r="648">
      <c r="A648" t="inlineStr">
        <is>
          <t>FUEL_CONSUMPTION_VALUE</t>
        </is>
      </c>
      <c r="B648" t="inlineStr">
        <is>
          <t>Entity</t>
        </is>
      </c>
      <c r="C648" t="inlineStr">
        <is>
          <t>MapsToEntity</t>
        </is>
      </c>
      <c r="D648" s="6" t="inlineStr">
        <is>
          <t>APPLICATION_EQUIPMENT_PERFORMANCE</t>
        </is>
      </c>
      <c r="E648" s="6" t="inlineStr">
        <is>
          <t>APPLICATION_EQUIPMENT_PERFORMANCE</t>
        </is>
      </c>
      <c r="F648" s="12" t="inlineStr">
        <is>
          <t>PASS</t>
        </is>
      </c>
      <c r="G648" t="inlineStr">
        <is>
          <t>BIM-core.MapsToEntity</t>
        </is>
      </c>
      <c r="H648" s="6" t="n"/>
    </row>
    <row r="649">
      <c r="A649" t="inlineStr">
        <is>
          <t>FUEL_CONSUMPTION_VALUE</t>
        </is>
      </c>
      <c r="B649" t="inlineStr">
        <is>
          <t>Entity</t>
        </is>
      </c>
      <c r="C649" t="inlineStr">
        <is>
          <t>PD_ObjectID</t>
        </is>
      </c>
      <c r="D649" s="6" t="inlineStr">
        <is>
          <t>22BC8FC1-8BAA-4E43-97DF-C96FE9524E44</t>
        </is>
      </c>
      <c r="E649" s="6" t="inlineStr">
        <is>
          <t>22BC8FC1-8BAA-4E43-97DF-C96FE9524E44</t>
        </is>
      </c>
      <c r="F649" s="12" t="inlineStr">
        <is>
          <t>PASS</t>
        </is>
      </c>
      <c r="H649" s="6" t="n"/>
    </row>
    <row r="650">
      <c r="A650" t="inlineStr">
        <is>
          <t>FUEL_CONSUMPTION_VALUE</t>
        </is>
      </c>
      <c r="B650" t="inlineStr">
        <is>
          <t>Entity</t>
        </is>
      </c>
      <c r="C650" t="inlineStr">
        <is>
          <t>PD_SourceExtraction</t>
        </is>
      </c>
      <c r="D650" s="6" t="inlineStr">
        <is>
          <t>46603045</t>
        </is>
      </c>
      <c r="E650" s="6" t="inlineStr">
        <is>
          <t>46603045</t>
        </is>
      </c>
      <c r="F650" s="12" t="inlineStr">
        <is>
          <t>PASS</t>
        </is>
      </c>
      <c r="H650" s="6" t="n"/>
    </row>
    <row r="651">
      <c r="A651" t="inlineStr">
        <is>
          <t>FUEL_CONSUMPTION_VALUE</t>
        </is>
      </c>
      <c r="B651" t="inlineStr">
        <is>
          <t>Entity</t>
        </is>
      </c>
      <c r="C651" t="inlineStr">
        <is>
          <t>PD_SourceModel</t>
        </is>
      </c>
      <c r="D651" s="6" t="inlineStr">
        <is>
          <t>05_Carbon_Calculator</t>
        </is>
      </c>
      <c r="E651" s="6" t="inlineStr">
        <is>
          <t>05_Carbon_Calculator</t>
        </is>
      </c>
      <c r="F651" s="12" t="inlineStr">
        <is>
          <t>PASS</t>
        </is>
      </c>
      <c r="H651" s="6" t="n"/>
    </row>
    <row r="652">
      <c r="A652" t="inlineStr">
        <is>
          <t>FUEL_CONSUMPTION_VALUE</t>
        </is>
      </c>
      <c r="B652" t="inlineStr">
        <is>
          <t>Entity</t>
        </is>
      </c>
      <c r="C652" t="inlineStr">
        <is>
          <t>SensitivePersonalData</t>
        </is>
      </c>
      <c r="D652" s="6" t="inlineStr">
        <is>
          <t>No Sensitive Personal Data</t>
        </is>
      </c>
      <c r="E652" s="6" t="inlineStr">
        <is>
          <t>No Sensitive Personal Data</t>
        </is>
      </c>
      <c r="F652" s="12" t="inlineStr">
        <is>
          <t>PASS</t>
        </is>
      </c>
      <c r="G652" t="inlineStr">
        <is>
          <t>BIM-core.SensitivePersonalData</t>
        </is>
      </c>
      <c r="H652" s="6" t="n"/>
    </row>
    <row r="653">
      <c r="A653" t="inlineStr">
        <is>
          <t>FUEL_FORM</t>
        </is>
      </c>
      <c r="B653" t="inlineStr">
        <is>
          <t>Entity</t>
        </is>
      </c>
      <c r="C653" t="inlineStr">
        <is>
          <t>CSI</t>
        </is>
      </c>
      <c r="D653" s="6" t="inlineStr">
        <is>
          <t>false</t>
        </is>
      </c>
      <c r="E653" s="6" t="inlineStr">
        <is>
          <t>false</t>
        </is>
      </c>
      <c r="F653" s="12" t="inlineStr">
        <is>
          <t>PASS</t>
        </is>
      </c>
      <c r="G653" t="inlineStr">
        <is>
          <t>SHL_LDM_EntityPropertyExtension.CSI</t>
        </is>
      </c>
      <c r="H653" s="6" t="n"/>
    </row>
    <row r="654">
      <c r="A654" t="inlineStr">
        <is>
          <t>FUEL_FORM</t>
        </is>
      </c>
      <c r="B654" t="inlineStr">
        <is>
          <t>Entity</t>
        </is>
      </c>
      <c r="C654" t="inlineStr">
        <is>
          <t>CommerciallySensitiveInformation</t>
        </is>
      </c>
      <c r="D654" s="6" t="inlineStr">
        <is>
          <t>No Commercially Sensitive Information</t>
        </is>
      </c>
      <c r="E654" s="6" t="inlineStr">
        <is>
          <t>No Commercially Sensitive Information</t>
        </is>
      </c>
      <c r="F654" s="12" t="inlineStr">
        <is>
          <t>PASS</t>
        </is>
      </c>
      <c r="G654" t="inlineStr">
        <is>
          <t>BIM-core.CommerciallySensitiveInformation</t>
        </is>
      </c>
      <c r="H654" s="6" t="n"/>
    </row>
    <row r="655">
      <c r="A655" t="inlineStr">
        <is>
          <t>FUEL_FORM</t>
        </is>
      </c>
      <c r="B655" t="inlineStr">
        <is>
          <t>Entity</t>
        </is>
      </c>
      <c r="C655" t="inlineStr">
        <is>
          <t>Criticality</t>
        </is>
      </c>
      <c r="D655" s="6" t="inlineStr">
        <is>
          <t>No Critical Data</t>
        </is>
      </c>
      <c r="E655" s="6" t="inlineStr">
        <is>
          <t>No Critical Data</t>
        </is>
      </c>
      <c r="F655" s="12" t="inlineStr">
        <is>
          <t>PASS</t>
        </is>
      </c>
      <c r="G655" t="inlineStr">
        <is>
          <t>BIM-core.Criticality</t>
        </is>
      </c>
      <c r="H655" s="6" t="n"/>
    </row>
    <row r="656">
      <c r="A656" t="inlineStr">
        <is>
          <t>FUEL_FORM</t>
        </is>
      </c>
      <c r="B656" t="inlineStr">
        <is>
          <t>Entity</t>
        </is>
      </c>
      <c r="C656" t="inlineStr">
        <is>
          <t>DataCategory</t>
        </is>
      </c>
      <c r="D656" s="6" t="inlineStr">
        <is>
          <t>Structured</t>
        </is>
      </c>
      <c r="E656" s="6" t="inlineStr">
        <is>
          <t>Structured</t>
        </is>
      </c>
      <c r="F656" s="12" t="inlineStr">
        <is>
          <t>PASS</t>
        </is>
      </c>
      <c r="G656" t="inlineStr">
        <is>
          <t>BIM-core.DataCategory</t>
        </is>
      </c>
      <c r="H656" s="6" t="n"/>
    </row>
    <row r="657">
      <c r="A657" t="inlineStr">
        <is>
          <t>FUEL_FORM</t>
        </is>
      </c>
      <c r="B657" t="inlineStr">
        <is>
          <t>Entity</t>
        </is>
      </c>
      <c r="C657" t="inlineStr">
        <is>
          <t>DataConfidentiality</t>
        </is>
      </c>
      <c r="D657" s="6" t="inlineStr">
        <is>
          <t>Internal</t>
        </is>
      </c>
      <c r="E657" s="6" t="inlineStr">
        <is>
          <t>Internal</t>
        </is>
      </c>
      <c r="F657" s="12" t="inlineStr">
        <is>
          <t>PASS</t>
        </is>
      </c>
      <c r="G657" t="inlineStr">
        <is>
          <t>BIM-core.DataConfidentiality</t>
        </is>
      </c>
      <c r="H657" s="6" t="n"/>
    </row>
    <row r="658">
      <c r="A658" t="inlineStr">
        <is>
          <t>FUEL_FORM</t>
        </is>
      </c>
      <c r="B658" t="inlineStr">
        <is>
          <t>Entity</t>
        </is>
      </c>
      <c r="C658" t="inlineStr">
        <is>
          <t>DesignStatus</t>
        </is>
      </c>
      <c r="D658" s="6" t="inlineStr">
        <is>
          <t>Approved</t>
        </is>
      </c>
      <c r="E658" s="6" t="inlineStr">
        <is>
          <t>Approved</t>
        </is>
      </c>
      <c r="F658" s="12" t="inlineStr">
        <is>
          <t>PASS</t>
        </is>
      </c>
      <c r="G658" t="inlineStr">
        <is>
          <t>BIM-core.DesignStatus</t>
        </is>
      </c>
      <c r="H658" s="6" t="n"/>
    </row>
    <row r="659">
      <c r="A659" t="inlineStr">
        <is>
          <t>FUEL_FORM</t>
        </is>
      </c>
      <c r="B659" t="inlineStr">
        <is>
          <t>Entity</t>
        </is>
      </c>
      <c r="C659" t="inlineStr">
        <is>
          <t>EntityCategory</t>
        </is>
      </c>
      <c r="D659" s="6" t="inlineStr">
        <is>
          <t>External Reference</t>
        </is>
      </c>
      <c r="E659" s="6" t="inlineStr">
        <is>
          <t>External Reference</t>
        </is>
      </c>
      <c r="F659" s="12" t="inlineStr">
        <is>
          <t>PASS</t>
        </is>
      </c>
      <c r="G659" t="inlineStr">
        <is>
          <t>BIM-core.EntityCategory</t>
        </is>
      </c>
      <c r="H659" s="6" t="n"/>
    </row>
    <row r="660">
      <c r="A660" t="inlineStr">
        <is>
          <t>FUEL_FORM</t>
        </is>
      </c>
      <c r="B660" t="inlineStr">
        <is>
          <t>Entity</t>
        </is>
      </c>
      <c r="C660" t="inlineStr">
        <is>
          <t>EntityPersonalData</t>
        </is>
      </c>
      <c r="D660" s="6" t="inlineStr">
        <is>
          <t>No Personal Data</t>
        </is>
      </c>
      <c r="E660" s="6" t="inlineStr">
        <is>
          <t>No Personal Data</t>
        </is>
      </c>
      <c r="F660" s="12" t="inlineStr">
        <is>
          <t>PASS</t>
        </is>
      </c>
      <c r="G660" t="inlineStr">
        <is>
          <t>BIM-core.EntityPersonalData</t>
        </is>
      </c>
      <c r="H660" s="6" t="n"/>
    </row>
    <row r="661">
      <c r="A661" t="inlineStr">
        <is>
          <t>FUEL_FORM</t>
        </is>
      </c>
      <c r="B661" t="inlineStr">
        <is>
          <t>Entity</t>
        </is>
      </c>
      <c r="C661" t="inlineStr">
        <is>
          <t>FinancialPersonalData</t>
        </is>
      </c>
      <c r="D661" s="6" t="inlineStr">
        <is>
          <t>No Financial Personal Data</t>
        </is>
      </c>
      <c r="E661" s="6" t="inlineStr">
        <is>
          <t>No Financial Personal Data</t>
        </is>
      </c>
      <c r="F661" s="12" t="inlineStr">
        <is>
          <t>PASS</t>
        </is>
      </c>
      <c r="G661" t="inlineStr">
        <is>
          <t>BIM-core.FinancialPersonalData</t>
        </is>
      </c>
      <c r="H661" s="6" t="n"/>
    </row>
    <row r="662">
      <c r="A662" t="inlineStr">
        <is>
          <t>FUEL_FORM</t>
        </is>
      </c>
      <c r="B662" t="inlineStr">
        <is>
          <t>Entity</t>
        </is>
      </c>
      <c r="C662" t="inlineStr">
        <is>
          <t>MTED_Encryption_Required</t>
        </is>
      </c>
      <c r="D662" s="6" t="inlineStr">
        <is>
          <t>false</t>
        </is>
      </c>
      <c r="E662" s="6" t="inlineStr">
        <is>
          <t>false</t>
        </is>
      </c>
      <c r="F662" s="12" t="inlineStr">
        <is>
          <t>PASS</t>
        </is>
      </c>
      <c r="G662" t="inlineStr">
        <is>
          <t>SHL_LDM_EntityPropertyExtension.MTED_Encryption_Required</t>
        </is>
      </c>
      <c r="H662" s="6" t="n"/>
    </row>
    <row r="663">
      <c r="A663" t="inlineStr">
        <is>
          <t>FUEL_FORM</t>
        </is>
      </c>
      <c r="B663" t="inlineStr">
        <is>
          <t>Entity</t>
        </is>
      </c>
      <c r="C663" t="inlineStr">
        <is>
          <t>MappingLevel</t>
        </is>
      </c>
      <c r="D663" s="6" t="inlineStr">
        <is>
          <t>BLM</t>
        </is>
      </c>
      <c r="E663" s="6" t="inlineStr">
        <is>
          <t>BLM</t>
        </is>
      </c>
      <c r="F663" s="12" t="inlineStr">
        <is>
          <t>PASS</t>
        </is>
      </c>
      <c r="G663" t="inlineStr">
        <is>
          <t>BIM-core.MappingLevel</t>
        </is>
      </c>
      <c r="H663" s="6" t="n"/>
    </row>
    <row r="664">
      <c r="A664" t="inlineStr">
        <is>
          <t>FUEL_FORM</t>
        </is>
      </c>
      <c r="B664" t="inlineStr">
        <is>
          <t>Entity</t>
        </is>
      </c>
      <c r="C664" t="inlineStr">
        <is>
          <t>MapsToEntity</t>
        </is>
      </c>
      <c r="D664" s="6" t="inlineStr">
        <is>
          <t>FUEL_FORM</t>
        </is>
      </c>
      <c r="E664" s="6" t="inlineStr">
        <is>
          <t>FUEL_FORM</t>
        </is>
      </c>
      <c r="F664" s="12" t="inlineStr">
        <is>
          <t>PASS</t>
        </is>
      </c>
      <c r="G664" t="inlineStr">
        <is>
          <t>BIM-core.MapsToEntity</t>
        </is>
      </c>
      <c r="H664" s="6" t="n"/>
    </row>
    <row r="665">
      <c r="A665" t="inlineStr">
        <is>
          <t>FUEL_FORM</t>
        </is>
      </c>
      <c r="B665" t="inlineStr">
        <is>
          <t>Entity</t>
        </is>
      </c>
      <c r="C665" t="inlineStr">
        <is>
          <t>PD_ObjectID</t>
        </is>
      </c>
      <c r="D665" s="6" t="inlineStr">
        <is>
          <t>306EAED2-7879-4A51-8128-D6259908D122</t>
        </is>
      </c>
      <c r="E665" s="6" t="inlineStr">
        <is>
          <t>306EAED2-7879-4A51-8128-D6259908D122</t>
        </is>
      </c>
      <c r="F665" s="12" t="inlineStr">
        <is>
          <t>PASS</t>
        </is>
      </c>
      <c r="H665" s="6" t="n"/>
    </row>
    <row r="666">
      <c r="A666" t="inlineStr">
        <is>
          <t>FUEL_FORM</t>
        </is>
      </c>
      <c r="B666" t="inlineStr">
        <is>
          <t>Entity</t>
        </is>
      </c>
      <c r="C666" t="inlineStr">
        <is>
          <t>PD_SourceExtraction</t>
        </is>
      </c>
      <c r="D666" s="6" t="inlineStr">
        <is>
          <t>46603045</t>
        </is>
      </c>
      <c r="E666" s="6" t="inlineStr">
        <is>
          <t>46603045</t>
        </is>
      </c>
      <c r="F666" s="12" t="inlineStr">
        <is>
          <t>PASS</t>
        </is>
      </c>
      <c r="H666" s="6" t="n"/>
    </row>
    <row r="667">
      <c r="A667" t="inlineStr">
        <is>
          <t>FUEL_FORM</t>
        </is>
      </c>
      <c r="B667" t="inlineStr">
        <is>
          <t>Entity</t>
        </is>
      </c>
      <c r="C667" t="inlineStr">
        <is>
          <t>PD_SourceModel</t>
        </is>
      </c>
      <c r="D667" s="6" t="inlineStr">
        <is>
          <t>05_Carbon_Calculator</t>
        </is>
      </c>
      <c r="E667" s="6" t="inlineStr">
        <is>
          <t>05_Carbon_Calculator</t>
        </is>
      </c>
      <c r="F667" s="12" t="inlineStr">
        <is>
          <t>PASS</t>
        </is>
      </c>
      <c r="H667" s="6" t="n"/>
    </row>
    <row r="668">
      <c r="A668" t="inlineStr">
        <is>
          <t>FUEL_FORM</t>
        </is>
      </c>
      <c r="B668" t="inlineStr">
        <is>
          <t>Entity</t>
        </is>
      </c>
      <c r="C668" t="inlineStr">
        <is>
          <t>SensitivePersonalData</t>
        </is>
      </c>
      <c r="D668" s="6" t="inlineStr">
        <is>
          <t>No Sensitive Personal Data</t>
        </is>
      </c>
      <c r="E668" s="6" t="inlineStr">
        <is>
          <t>No Sensitive Personal Data</t>
        </is>
      </c>
      <c r="F668" s="12" t="inlineStr">
        <is>
          <t>PASS</t>
        </is>
      </c>
      <c r="G668" t="inlineStr">
        <is>
          <t>BIM-core.SensitivePersonalData</t>
        </is>
      </c>
      <c r="H668" s="6" t="n"/>
    </row>
    <row r="669">
      <c r="A669" t="inlineStr">
        <is>
          <t>FUEL_FORM_PROPERTY</t>
        </is>
      </c>
      <c r="B669" t="inlineStr">
        <is>
          <t>Entity</t>
        </is>
      </c>
      <c r="C669" t="inlineStr">
        <is>
          <t>CommerciallySensitiveInformation</t>
        </is>
      </c>
      <c r="D669" s="6" t="inlineStr">
        <is>
          <t>No Commercially Sensitive Information</t>
        </is>
      </c>
      <c r="E669" s="6" t="inlineStr">
        <is>
          <t>No Commercially Sensitive Information</t>
        </is>
      </c>
      <c r="F669" s="12" t="inlineStr">
        <is>
          <t>PASS</t>
        </is>
      </c>
      <c r="G669" t="inlineStr">
        <is>
          <t>BIM-core.CommerciallySensitiveInformation</t>
        </is>
      </c>
      <c r="H669" s="6" t="n"/>
    </row>
    <row r="670">
      <c r="A670" t="inlineStr">
        <is>
          <t>FUEL_FORM_PROPERTY</t>
        </is>
      </c>
      <c r="B670" t="inlineStr">
        <is>
          <t>Entity</t>
        </is>
      </c>
      <c r="C670" t="inlineStr">
        <is>
          <t>Criticality</t>
        </is>
      </c>
      <c r="D670" s="6" t="inlineStr">
        <is>
          <t>No Critical Data</t>
        </is>
      </c>
      <c r="E670" s="6" t="inlineStr">
        <is>
          <t>No Critical Data</t>
        </is>
      </c>
      <c r="F670" s="12" t="inlineStr">
        <is>
          <t>PASS</t>
        </is>
      </c>
      <c r="G670" t="inlineStr">
        <is>
          <t>BIM-core.Criticality</t>
        </is>
      </c>
      <c r="H670" s="6" t="n"/>
    </row>
    <row r="671">
      <c r="A671" t="inlineStr">
        <is>
          <t>FUEL_FORM_PROPERTY</t>
        </is>
      </c>
      <c r="B671" t="inlineStr">
        <is>
          <t>Entity</t>
        </is>
      </c>
      <c r="C671" t="inlineStr">
        <is>
          <t>DataCategory</t>
        </is>
      </c>
      <c r="D671" s="6" t="inlineStr">
        <is>
          <t>Structured</t>
        </is>
      </c>
      <c r="E671" s="6" t="inlineStr">
        <is>
          <t>Structured</t>
        </is>
      </c>
      <c r="F671" s="12" t="inlineStr">
        <is>
          <t>PASS</t>
        </is>
      </c>
      <c r="G671" t="inlineStr">
        <is>
          <t>BIM-core.DataCategory</t>
        </is>
      </c>
      <c r="H671" s="6" t="n"/>
    </row>
    <row r="672">
      <c r="A672" t="inlineStr">
        <is>
          <t>FUEL_FORM_PROPERTY</t>
        </is>
      </c>
      <c r="B672" t="inlineStr">
        <is>
          <t>Entity</t>
        </is>
      </c>
      <c r="C672" t="inlineStr">
        <is>
          <t>DataConfidentiality</t>
        </is>
      </c>
      <c r="D672" s="6" t="inlineStr">
        <is>
          <t>Internal</t>
        </is>
      </c>
      <c r="E672" s="6" t="inlineStr">
        <is>
          <t>Internal</t>
        </is>
      </c>
      <c r="F672" s="12" t="inlineStr">
        <is>
          <t>PASS</t>
        </is>
      </c>
      <c r="G672" t="inlineStr">
        <is>
          <t>BIM-core.DataConfidentiality</t>
        </is>
      </c>
      <c r="H672" s="6" t="n"/>
    </row>
    <row r="673">
      <c r="A673" t="inlineStr">
        <is>
          <t>FUEL_FORM_PROPERTY</t>
        </is>
      </c>
      <c r="B673" t="inlineStr">
        <is>
          <t>Entity</t>
        </is>
      </c>
      <c r="C673" t="inlineStr">
        <is>
          <t>DesignStatus</t>
        </is>
      </c>
      <c r="D673" s="6" t="inlineStr">
        <is>
          <t>Approved</t>
        </is>
      </c>
      <c r="E673" s="6" t="inlineStr">
        <is>
          <t>Approved</t>
        </is>
      </c>
      <c r="F673" s="12" t="inlineStr">
        <is>
          <t>PASS</t>
        </is>
      </c>
      <c r="G673" t="inlineStr">
        <is>
          <t>BIM-core.DesignStatus</t>
        </is>
      </c>
      <c r="H673" s="6" t="n"/>
    </row>
    <row r="674">
      <c r="A674" t="inlineStr">
        <is>
          <t>FUEL_FORM_PROPERTY</t>
        </is>
      </c>
      <c r="B674" t="inlineStr">
        <is>
          <t>Entity</t>
        </is>
      </c>
      <c r="C674" t="inlineStr">
        <is>
          <t>EntityCategory</t>
        </is>
      </c>
      <c r="D674" s="6" t="inlineStr">
        <is>
          <t>Internal Reference</t>
        </is>
      </c>
      <c r="E674" s="6" t="inlineStr">
        <is>
          <t>Internal Reference</t>
        </is>
      </c>
      <c r="F674" s="12" t="inlineStr">
        <is>
          <t>PASS</t>
        </is>
      </c>
      <c r="G674" t="inlineStr">
        <is>
          <t>BIM-core.EntityCategory</t>
        </is>
      </c>
      <c r="H674" s="6" t="n"/>
    </row>
    <row r="675">
      <c r="A675" t="inlineStr">
        <is>
          <t>FUEL_FORM_PROPERTY</t>
        </is>
      </c>
      <c r="B675" t="inlineStr">
        <is>
          <t>Entity</t>
        </is>
      </c>
      <c r="C675" t="inlineStr">
        <is>
          <t>EntityPersonalData</t>
        </is>
      </c>
      <c r="D675" s="6" t="inlineStr">
        <is>
          <t>No Personal Data</t>
        </is>
      </c>
      <c r="E675" s="6" t="inlineStr">
        <is>
          <t>No Personal Data</t>
        </is>
      </c>
      <c r="F675" s="12" t="inlineStr">
        <is>
          <t>PASS</t>
        </is>
      </c>
      <c r="G675" t="inlineStr">
        <is>
          <t>BIM-core.EntityPersonalData</t>
        </is>
      </c>
      <c r="H675" s="6" t="n"/>
    </row>
    <row r="676">
      <c r="A676" t="inlineStr">
        <is>
          <t>FUEL_FORM_PROPERTY</t>
        </is>
      </c>
      <c r="B676" t="inlineStr">
        <is>
          <t>Entity</t>
        </is>
      </c>
      <c r="C676" t="inlineStr">
        <is>
          <t>FinancialPersonalData</t>
        </is>
      </c>
      <c r="D676" s="6" t="inlineStr">
        <is>
          <t>No Financial Personal Data</t>
        </is>
      </c>
      <c r="E676" s="6" t="inlineStr">
        <is>
          <t>No Financial Personal Data</t>
        </is>
      </c>
      <c r="F676" s="12" t="inlineStr">
        <is>
          <t>PASS</t>
        </is>
      </c>
      <c r="G676" t="inlineStr">
        <is>
          <t>BIM-core.FinancialPersonalData</t>
        </is>
      </c>
      <c r="H676" s="6" t="n"/>
    </row>
    <row r="677">
      <c r="A677" t="inlineStr">
        <is>
          <t>FUEL_FORM_PROPERTY</t>
        </is>
      </c>
      <c r="B677" t="inlineStr">
        <is>
          <t>Entity</t>
        </is>
      </c>
      <c r="C677" t="inlineStr">
        <is>
          <t>MTED_EDaM_Mapping_Note</t>
        </is>
      </c>
      <c r="D677" s="6" t="inlineStr">
        <is>
          <t>{\rtf1\ansi\ansicpg1252\deff0\nouicompat\deflang2057{\fonttbl{\f0\fnil\fcharset0 Times New Roman;}}</t>
        </is>
      </c>
      <c r="E677" s="6" t="inlineStr">
        <is>
          <t>{\rtf1\ansi\ansicpg1252\deff0\nouicompat\deflang2057{\fonttbl{\f0\fnil\fcharset0 Times New Roman;}}</t>
        </is>
      </c>
      <c r="F677" s="12" t="inlineStr">
        <is>
          <t>PASS</t>
        </is>
      </c>
      <c r="G677" t="inlineStr">
        <is>
          <t>BIM-core.MTED_EDaM_Mapping_Note</t>
        </is>
      </c>
      <c r="H677" s="6" t="n"/>
    </row>
    <row r="678">
      <c r="A678" t="inlineStr">
        <is>
          <t>FUEL_FORM_PROPERTY</t>
        </is>
      </c>
      <c r="B678" t="inlineStr">
        <is>
          <t>Entity</t>
        </is>
      </c>
      <c r="C678" t="inlineStr">
        <is>
          <t>PD_ObjectID</t>
        </is>
      </c>
      <c r="D678" s="6" t="inlineStr">
        <is>
          <t>C89651D5-480F-4D63-83F4-B05265388373</t>
        </is>
      </c>
      <c r="E678" s="6" t="inlineStr">
        <is>
          <t>C89651D5-480F-4D63-83F4-B05265388373</t>
        </is>
      </c>
      <c r="F678" s="12" t="inlineStr">
        <is>
          <t>PASS</t>
        </is>
      </c>
      <c r="H678" s="6" t="n"/>
    </row>
    <row r="679">
      <c r="A679" t="inlineStr">
        <is>
          <t>FUEL_FORM_PROPERTY</t>
        </is>
      </c>
      <c r="B679" t="inlineStr">
        <is>
          <t>Entity</t>
        </is>
      </c>
      <c r="C679" t="inlineStr">
        <is>
          <t>PD_SourceExtraction</t>
        </is>
      </c>
      <c r="D679" s="6" t="inlineStr">
        <is>
          <t>46603045</t>
        </is>
      </c>
      <c r="E679" s="6" t="inlineStr">
        <is>
          <t>46603045</t>
        </is>
      </c>
      <c r="F679" s="12" t="inlineStr">
        <is>
          <t>PASS</t>
        </is>
      </c>
      <c r="H679" s="6" t="n"/>
    </row>
    <row r="680">
      <c r="A680" t="inlineStr">
        <is>
          <t>FUEL_FORM_PROPERTY</t>
        </is>
      </c>
      <c r="B680" t="inlineStr">
        <is>
          <t>Entity</t>
        </is>
      </c>
      <c r="C680" t="inlineStr">
        <is>
          <t>PD_SourceModel</t>
        </is>
      </c>
      <c r="D680" s="6" t="inlineStr">
        <is>
          <t>05_Carbon_Calculator</t>
        </is>
      </c>
      <c r="E680" s="6" t="inlineStr">
        <is>
          <t>05_Carbon_Calculator</t>
        </is>
      </c>
      <c r="F680" s="12" t="inlineStr">
        <is>
          <t>PASS</t>
        </is>
      </c>
      <c r="H680" s="6" t="n"/>
    </row>
    <row r="681">
      <c r="A681" t="inlineStr">
        <is>
          <t>FUEL_FORM_PROPERTY</t>
        </is>
      </c>
      <c r="B681" t="inlineStr">
        <is>
          <t>Entity</t>
        </is>
      </c>
      <c r="C681" t="inlineStr">
        <is>
          <t>SensitivePersonalData</t>
        </is>
      </c>
      <c r="D681" s="6" t="inlineStr">
        <is>
          <t>No Sensitive Personal Data</t>
        </is>
      </c>
      <c r="E681" s="6" t="inlineStr">
        <is>
          <t>No Sensitive Personal Data</t>
        </is>
      </c>
      <c r="F681" s="12" t="inlineStr">
        <is>
          <t>PASS</t>
        </is>
      </c>
      <c r="G681" t="inlineStr">
        <is>
          <t>BIM-core.SensitivePersonalData</t>
        </is>
      </c>
      <c r="H681" s="6" t="n"/>
    </row>
    <row r="682">
      <c r="A682" t="inlineStr">
        <is>
          <t>FUEL_FORM_QUANTITY_UNIT</t>
        </is>
      </c>
      <c r="B682" t="inlineStr">
        <is>
          <t>Entity</t>
        </is>
      </c>
      <c r="C682" t="inlineStr">
        <is>
          <t>CSI</t>
        </is>
      </c>
      <c r="D682" s="6" t="inlineStr">
        <is>
          <t>false</t>
        </is>
      </c>
      <c r="E682" s="6" t="inlineStr">
        <is>
          <t>false</t>
        </is>
      </c>
      <c r="F682" s="12" t="inlineStr">
        <is>
          <t>PASS</t>
        </is>
      </c>
      <c r="G682" t="inlineStr">
        <is>
          <t>SHL_LDM_EntityPropertyExtension.CSI</t>
        </is>
      </c>
      <c r="H682" s="6" t="n"/>
    </row>
    <row r="683">
      <c r="A683" t="inlineStr">
        <is>
          <t>FUEL_FORM_QUANTITY_UNIT</t>
        </is>
      </c>
      <c r="B683" t="inlineStr">
        <is>
          <t>Entity</t>
        </is>
      </c>
      <c r="C683" t="inlineStr">
        <is>
          <t>CommerciallySensitiveInformation</t>
        </is>
      </c>
      <c r="D683" s="6" t="inlineStr">
        <is>
          <t>No Commercially Sensitive Information</t>
        </is>
      </c>
      <c r="E683" s="6" t="inlineStr">
        <is>
          <t>No Commercially Sensitive Information</t>
        </is>
      </c>
      <c r="F683" s="12" t="inlineStr">
        <is>
          <t>PASS</t>
        </is>
      </c>
      <c r="G683" t="inlineStr">
        <is>
          <t>BIM-core.CommerciallySensitiveInformation</t>
        </is>
      </c>
      <c r="H683" s="6" t="n"/>
    </row>
    <row r="684">
      <c r="A684" t="inlineStr">
        <is>
          <t>FUEL_FORM_QUANTITY_UNIT</t>
        </is>
      </c>
      <c r="B684" t="inlineStr">
        <is>
          <t>Entity</t>
        </is>
      </c>
      <c r="C684" t="inlineStr">
        <is>
          <t>Criticality</t>
        </is>
      </c>
      <c r="D684" s="6" t="inlineStr">
        <is>
          <t>No Critical Data</t>
        </is>
      </c>
      <c r="E684" s="6" t="inlineStr">
        <is>
          <t>No Critical Data</t>
        </is>
      </c>
      <c r="F684" s="12" t="inlineStr">
        <is>
          <t>PASS</t>
        </is>
      </c>
      <c r="G684" t="inlineStr">
        <is>
          <t>BIM-core.Criticality</t>
        </is>
      </c>
      <c r="H684" s="6" t="n"/>
    </row>
    <row r="685">
      <c r="A685" t="inlineStr">
        <is>
          <t>FUEL_FORM_QUANTITY_UNIT</t>
        </is>
      </c>
      <c r="B685" t="inlineStr">
        <is>
          <t>Entity</t>
        </is>
      </c>
      <c r="C685" t="inlineStr">
        <is>
          <t>DataCategory</t>
        </is>
      </c>
      <c r="D685" s="6" t="inlineStr">
        <is>
          <t>Structured</t>
        </is>
      </c>
      <c r="E685" s="6" t="inlineStr">
        <is>
          <t>Structured</t>
        </is>
      </c>
      <c r="F685" s="12" t="inlineStr">
        <is>
          <t>PASS</t>
        </is>
      </c>
      <c r="G685" t="inlineStr">
        <is>
          <t>BIM-core.DataCategory</t>
        </is>
      </c>
      <c r="H685" s="6" t="n"/>
    </row>
    <row r="686">
      <c r="A686" t="inlineStr">
        <is>
          <t>FUEL_FORM_QUANTITY_UNIT</t>
        </is>
      </c>
      <c r="B686" t="inlineStr">
        <is>
          <t>Entity</t>
        </is>
      </c>
      <c r="C686" t="inlineStr">
        <is>
          <t>DataConfidentiality</t>
        </is>
      </c>
      <c r="D686" s="6" t="inlineStr">
        <is>
          <t>Internal</t>
        </is>
      </c>
      <c r="E686" s="6" t="inlineStr">
        <is>
          <t>Internal</t>
        </is>
      </c>
      <c r="F686" s="12" t="inlineStr">
        <is>
          <t>PASS</t>
        </is>
      </c>
      <c r="G686" t="inlineStr">
        <is>
          <t>BIM-core.DataConfidentiality</t>
        </is>
      </c>
      <c r="H686" s="6" t="n"/>
    </row>
    <row r="687">
      <c r="A687" t="inlineStr">
        <is>
          <t>FUEL_FORM_QUANTITY_UNIT</t>
        </is>
      </c>
      <c r="B687" t="inlineStr">
        <is>
          <t>Entity</t>
        </is>
      </c>
      <c r="C687" t="inlineStr">
        <is>
          <t>DesignStatus</t>
        </is>
      </c>
      <c r="D687" s="6" t="inlineStr">
        <is>
          <t>Approved</t>
        </is>
      </c>
      <c r="E687" s="6" t="inlineStr">
        <is>
          <t>Approved</t>
        </is>
      </c>
      <c r="F687" s="12" t="inlineStr">
        <is>
          <t>PASS</t>
        </is>
      </c>
      <c r="G687" t="inlineStr">
        <is>
          <t>BIM-core.DesignStatus</t>
        </is>
      </c>
      <c r="H687" s="6" t="n"/>
    </row>
    <row r="688">
      <c r="A688" t="inlineStr">
        <is>
          <t>FUEL_FORM_QUANTITY_UNIT</t>
        </is>
      </c>
      <c r="B688" t="inlineStr">
        <is>
          <t>Entity</t>
        </is>
      </c>
      <c r="C688" t="inlineStr">
        <is>
          <t>EntityCategory</t>
        </is>
      </c>
      <c r="D688" s="6" t="inlineStr">
        <is>
          <t>External Reference</t>
        </is>
      </c>
      <c r="E688" s="6" t="inlineStr">
        <is>
          <t>External Reference</t>
        </is>
      </c>
      <c r="F688" s="12" t="inlineStr">
        <is>
          <t>PASS</t>
        </is>
      </c>
      <c r="G688" t="inlineStr">
        <is>
          <t>BIM-core.EntityCategory</t>
        </is>
      </c>
      <c r="H688" s="6" t="n"/>
    </row>
    <row r="689">
      <c r="A689" t="inlineStr">
        <is>
          <t>FUEL_FORM_QUANTITY_UNIT</t>
        </is>
      </c>
      <c r="B689" t="inlineStr">
        <is>
          <t>Entity</t>
        </is>
      </c>
      <c r="C689" t="inlineStr">
        <is>
          <t>EntityPersonalData</t>
        </is>
      </c>
      <c r="D689" s="6" t="inlineStr">
        <is>
          <t>No Personal Data</t>
        </is>
      </c>
      <c r="E689" s="6" t="inlineStr">
        <is>
          <t>No Personal Data</t>
        </is>
      </c>
      <c r="F689" s="12" t="inlineStr">
        <is>
          <t>PASS</t>
        </is>
      </c>
      <c r="G689" t="inlineStr">
        <is>
          <t>BIM-core.EntityPersonalData</t>
        </is>
      </c>
      <c r="H689" s="6" t="n"/>
    </row>
    <row r="690">
      <c r="A690" t="inlineStr">
        <is>
          <t>FUEL_FORM_QUANTITY_UNIT</t>
        </is>
      </c>
      <c r="B690" t="inlineStr">
        <is>
          <t>Entity</t>
        </is>
      </c>
      <c r="C690" t="inlineStr">
        <is>
          <t>FinancialPersonalData</t>
        </is>
      </c>
      <c r="D690" s="6" t="inlineStr">
        <is>
          <t>No Financial Personal Data</t>
        </is>
      </c>
      <c r="E690" s="6" t="inlineStr">
        <is>
          <t>No Financial Personal Data</t>
        </is>
      </c>
      <c r="F690" s="12" t="inlineStr">
        <is>
          <t>PASS</t>
        </is>
      </c>
      <c r="G690" t="inlineStr">
        <is>
          <t>BIM-core.FinancialPersonalData</t>
        </is>
      </c>
      <c r="H690" s="6" t="n"/>
    </row>
    <row r="691">
      <c r="A691" t="inlineStr">
        <is>
          <t>FUEL_FORM_QUANTITY_UNIT</t>
        </is>
      </c>
      <c r="B691" t="inlineStr">
        <is>
          <t>Entity</t>
        </is>
      </c>
      <c r="C691" t="inlineStr">
        <is>
          <t>MTED_Encryption_Required</t>
        </is>
      </c>
      <c r="D691" s="6" t="inlineStr">
        <is>
          <t>false</t>
        </is>
      </c>
      <c r="E691" s="6" t="inlineStr">
        <is>
          <t>false</t>
        </is>
      </c>
      <c r="F691" s="12" t="inlineStr">
        <is>
          <t>PASS</t>
        </is>
      </c>
      <c r="G691" t="inlineStr">
        <is>
          <t>SHL_LDM_EntityPropertyExtension.MTED_Encryption_Required</t>
        </is>
      </c>
      <c r="H691" s="6" t="n"/>
    </row>
    <row r="692">
      <c r="A692" t="inlineStr">
        <is>
          <t>FUEL_FORM_QUANTITY_UNIT</t>
        </is>
      </c>
      <c r="B692" t="inlineStr">
        <is>
          <t>Entity</t>
        </is>
      </c>
      <c r="C692" t="inlineStr">
        <is>
          <t>MappingLevel</t>
        </is>
      </c>
      <c r="D692" s="6" t="inlineStr">
        <is>
          <t>BLM</t>
        </is>
      </c>
      <c r="E692" s="6" t="inlineStr">
        <is>
          <t>BLM</t>
        </is>
      </c>
      <c r="F692" s="12" t="inlineStr">
        <is>
          <t>PASS</t>
        </is>
      </c>
      <c r="G692" t="inlineStr">
        <is>
          <t>BIM-core.MappingLevel</t>
        </is>
      </c>
      <c r="H692" s="6" t="n"/>
    </row>
    <row r="693">
      <c r="A693" t="inlineStr">
        <is>
          <t>FUEL_FORM_QUANTITY_UNIT</t>
        </is>
      </c>
      <c r="B693" t="inlineStr">
        <is>
          <t>Entity</t>
        </is>
      </c>
      <c r="C693" t="inlineStr">
        <is>
          <t>MapsToEntity</t>
        </is>
      </c>
      <c r="D693" s="6" t="inlineStr">
        <is>
          <t>FUEL_FORM_QUANTITY_UNIT</t>
        </is>
      </c>
      <c r="E693" s="6" t="inlineStr">
        <is>
          <t>FUEL_FORM_QUANTITY_UNIT</t>
        </is>
      </c>
      <c r="F693" s="12" t="inlineStr">
        <is>
          <t>PASS</t>
        </is>
      </c>
      <c r="G693" t="inlineStr">
        <is>
          <t>BIM-core.MapsToEntity</t>
        </is>
      </c>
      <c r="H693" s="6" t="n"/>
    </row>
    <row r="694">
      <c r="A694" t="inlineStr">
        <is>
          <t>FUEL_FORM_QUANTITY_UNIT</t>
        </is>
      </c>
      <c r="B694" t="inlineStr">
        <is>
          <t>Entity</t>
        </is>
      </c>
      <c r="C694" t="inlineStr">
        <is>
          <t>PD_ObjectID</t>
        </is>
      </c>
      <c r="D694" s="6" t="inlineStr">
        <is>
          <t>848C9DC0-FA74-4E50-90E2-4CBF73C40495</t>
        </is>
      </c>
      <c r="E694" s="6" t="inlineStr">
        <is>
          <t>848C9DC0-FA74-4E50-90E2-4CBF73C40495</t>
        </is>
      </c>
      <c r="F694" s="12" t="inlineStr">
        <is>
          <t>PASS</t>
        </is>
      </c>
      <c r="H694" s="6" t="n"/>
    </row>
    <row r="695">
      <c r="A695" t="inlineStr">
        <is>
          <t>FUEL_FORM_QUANTITY_UNIT</t>
        </is>
      </c>
      <c r="B695" t="inlineStr">
        <is>
          <t>Entity</t>
        </is>
      </c>
      <c r="C695" t="inlineStr">
        <is>
          <t>PD_SourceExtraction</t>
        </is>
      </c>
      <c r="D695" s="6" t="inlineStr">
        <is>
          <t>46603045</t>
        </is>
      </c>
      <c r="E695" s="6" t="inlineStr">
        <is>
          <t>46603045</t>
        </is>
      </c>
      <c r="F695" s="12" t="inlineStr">
        <is>
          <t>PASS</t>
        </is>
      </c>
      <c r="H695" s="6" t="n"/>
    </row>
    <row r="696">
      <c r="A696" t="inlineStr">
        <is>
          <t>FUEL_FORM_QUANTITY_UNIT</t>
        </is>
      </c>
      <c r="B696" t="inlineStr">
        <is>
          <t>Entity</t>
        </is>
      </c>
      <c r="C696" t="inlineStr">
        <is>
          <t>PD_SourceModel</t>
        </is>
      </c>
      <c r="D696" s="6" t="inlineStr">
        <is>
          <t>05_Carbon_Calculator</t>
        </is>
      </c>
      <c r="E696" s="6" t="inlineStr">
        <is>
          <t>05_Carbon_Calculator</t>
        </is>
      </c>
      <c r="F696" s="12" t="inlineStr">
        <is>
          <t>PASS</t>
        </is>
      </c>
      <c r="H696" s="6" t="n"/>
    </row>
    <row r="697">
      <c r="A697" t="inlineStr">
        <is>
          <t>FUEL_FORM_QUANTITY_UNIT</t>
        </is>
      </c>
      <c r="B697" t="inlineStr">
        <is>
          <t>Entity</t>
        </is>
      </c>
      <c r="C697" t="inlineStr">
        <is>
          <t>SensitivePersonalData</t>
        </is>
      </c>
      <c r="D697" s="6" t="inlineStr">
        <is>
          <t>No Sensitive Personal Data</t>
        </is>
      </c>
      <c r="E697" s="6" t="inlineStr">
        <is>
          <t>No Sensitive Personal Data</t>
        </is>
      </c>
      <c r="F697" s="12" t="inlineStr">
        <is>
          <t>PASS</t>
        </is>
      </c>
      <c r="G697" t="inlineStr">
        <is>
          <t>BIM-core.SensitivePersonalData</t>
        </is>
      </c>
      <c r="H697" s="6" t="n"/>
    </row>
    <row r="698">
      <c r="A698" t="inlineStr">
        <is>
          <t>FUEL_MARKET_PRODUCT</t>
        </is>
      </c>
      <c r="B698" t="inlineStr">
        <is>
          <t>Entity</t>
        </is>
      </c>
      <c r="C698" t="inlineStr">
        <is>
          <t>CSI</t>
        </is>
      </c>
      <c r="D698" s="6" t="inlineStr">
        <is>
          <t>false</t>
        </is>
      </c>
      <c r="E698" s="6" t="inlineStr">
        <is>
          <t>false</t>
        </is>
      </c>
      <c r="F698" s="12" t="inlineStr">
        <is>
          <t>PASS</t>
        </is>
      </c>
      <c r="G698" t="inlineStr">
        <is>
          <t>SHL_LDM_EntityPropertyExtension.CSI</t>
        </is>
      </c>
      <c r="H698" s="6" t="n"/>
    </row>
    <row r="699">
      <c r="A699" t="inlineStr">
        <is>
          <t>FUEL_MARKET_PRODUCT</t>
        </is>
      </c>
      <c r="B699" t="inlineStr">
        <is>
          <t>Entity</t>
        </is>
      </c>
      <c r="C699" t="inlineStr">
        <is>
          <t>CommerciallySensitiveInformation</t>
        </is>
      </c>
      <c r="D699" s="6" t="inlineStr">
        <is>
          <t>No Commercially Sensitive Information</t>
        </is>
      </c>
      <c r="E699" s="6" t="inlineStr">
        <is>
          <t>No Commercially Sensitive Information</t>
        </is>
      </c>
      <c r="F699" s="12" t="inlineStr">
        <is>
          <t>PASS</t>
        </is>
      </c>
      <c r="G699" t="inlineStr">
        <is>
          <t>BIM-core.CommerciallySensitiveInformation</t>
        </is>
      </c>
      <c r="H699" s="6" t="n"/>
    </row>
    <row r="700">
      <c r="A700" t="inlineStr">
        <is>
          <t>FUEL_MARKET_PRODUCT</t>
        </is>
      </c>
      <c r="B700" t="inlineStr">
        <is>
          <t>Entity</t>
        </is>
      </c>
      <c r="C700" t="inlineStr">
        <is>
          <t>Criticality</t>
        </is>
      </c>
      <c r="D700" s="6" t="inlineStr">
        <is>
          <t>No Critical Data</t>
        </is>
      </c>
      <c r="E700" s="6" t="inlineStr">
        <is>
          <t>No Critical Data</t>
        </is>
      </c>
      <c r="F700" s="12" t="inlineStr">
        <is>
          <t>PASS</t>
        </is>
      </c>
      <c r="G700" t="inlineStr">
        <is>
          <t>BIM-core.Criticality</t>
        </is>
      </c>
      <c r="H700" s="6" t="n"/>
    </row>
    <row r="701">
      <c r="A701" t="inlineStr">
        <is>
          <t>FUEL_MARKET_PRODUCT</t>
        </is>
      </c>
      <c r="B701" t="inlineStr">
        <is>
          <t>Entity</t>
        </is>
      </c>
      <c r="C701" t="inlineStr">
        <is>
          <t>DataCategory</t>
        </is>
      </c>
      <c r="D701" s="6" t="inlineStr">
        <is>
          <t>Structured</t>
        </is>
      </c>
      <c r="E701" s="6" t="inlineStr">
        <is>
          <t>Structured</t>
        </is>
      </c>
      <c r="F701" s="12" t="inlineStr">
        <is>
          <t>PASS</t>
        </is>
      </c>
      <c r="G701" t="inlineStr">
        <is>
          <t>BIM-core.DataCategory</t>
        </is>
      </c>
      <c r="H701" s="6" t="n"/>
    </row>
    <row r="702">
      <c r="A702" t="inlineStr">
        <is>
          <t>FUEL_MARKET_PRODUCT</t>
        </is>
      </c>
      <c r="B702" t="inlineStr">
        <is>
          <t>Entity</t>
        </is>
      </c>
      <c r="C702" t="inlineStr">
        <is>
          <t>DataConfidentiality</t>
        </is>
      </c>
      <c r="D702" s="6" t="inlineStr">
        <is>
          <t>Internal</t>
        </is>
      </c>
      <c r="E702" s="6" t="inlineStr">
        <is>
          <t>Internal</t>
        </is>
      </c>
      <c r="F702" s="12" t="inlineStr">
        <is>
          <t>PASS</t>
        </is>
      </c>
      <c r="G702" t="inlineStr">
        <is>
          <t>BIM-core.DataConfidentiality</t>
        </is>
      </c>
      <c r="H702" s="6" t="n"/>
    </row>
    <row r="703">
      <c r="A703" t="inlineStr">
        <is>
          <t>FUEL_MARKET_PRODUCT</t>
        </is>
      </c>
      <c r="B703" t="inlineStr">
        <is>
          <t>Entity</t>
        </is>
      </c>
      <c r="C703" t="inlineStr">
        <is>
          <t>DesignStatus</t>
        </is>
      </c>
      <c r="D703" s="6" t="inlineStr">
        <is>
          <t>Approved</t>
        </is>
      </c>
      <c r="E703" s="6" t="inlineStr">
        <is>
          <t>Approved</t>
        </is>
      </c>
      <c r="F703" s="12" t="inlineStr">
        <is>
          <t>PASS</t>
        </is>
      </c>
      <c r="G703" t="inlineStr">
        <is>
          <t>BIM-core.DesignStatus</t>
        </is>
      </c>
      <c r="H703" s="6" t="n"/>
    </row>
    <row r="704">
      <c r="A704" t="inlineStr">
        <is>
          <t>FUEL_MARKET_PRODUCT</t>
        </is>
      </c>
      <c r="B704" t="inlineStr">
        <is>
          <t>Entity</t>
        </is>
      </c>
      <c r="C704" t="inlineStr">
        <is>
          <t>EntityCategory</t>
        </is>
      </c>
      <c r="D704" s="6" t="inlineStr">
        <is>
          <t>Intersection</t>
        </is>
      </c>
      <c r="E704" s="6" t="inlineStr">
        <is>
          <t>Intersection</t>
        </is>
      </c>
      <c r="F704" s="12" t="inlineStr">
        <is>
          <t>PASS</t>
        </is>
      </c>
      <c r="G704" t="inlineStr">
        <is>
          <t>BIM-core.EntityCategory</t>
        </is>
      </c>
      <c r="H704" s="6" t="n"/>
    </row>
    <row r="705">
      <c r="A705" t="inlineStr">
        <is>
          <t>FUEL_MARKET_PRODUCT</t>
        </is>
      </c>
      <c r="B705" t="inlineStr">
        <is>
          <t>Entity</t>
        </is>
      </c>
      <c r="C705" t="inlineStr">
        <is>
          <t>EntityPersonalData</t>
        </is>
      </c>
      <c r="D705" s="6" t="inlineStr">
        <is>
          <t>No Personal Data</t>
        </is>
      </c>
      <c r="E705" s="6" t="inlineStr">
        <is>
          <t>No Personal Data</t>
        </is>
      </c>
      <c r="F705" s="12" t="inlineStr">
        <is>
          <t>PASS</t>
        </is>
      </c>
      <c r="G705" t="inlineStr">
        <is>
          <t>BIM-core.EntityPersonalData</t>
        </is>
      </c>
      <c r="H705" s="6" t="n"/>
    </row>
    <row r="706">
      <c r="A706" t="inlineStr">
        <is>
          <t>FUEL_MARKET_PRODUCT</t>
        </is>
      </c>
      <c r="B706" t="inlineStr">
        <is>
          <t>Entity</t>
        </is>
      </c>
      <c r="C706" t="inlineStr">
        <is>
          <t>FinancialPersonalData</t>
        </is>
      </c>
      <c r="D706" s="6" t="inlineStr">
        <is>
          <t>No Financial Personal Data</t>
        </is>
      </c>
      <c r="E706" s="6" t="inlineStr">
        <is>
          <t>No Financial Personal Data</t>
        </is>
      </c>
      <c r="F706" s="12" t="inlineStr">
        <is>
          <t>PASS</t>
        </is>
      </c>
      <c r="G706" t="inlineStr">
        <is>
          <t>BIM-core.FinancialPersonalData</t>
        </is>
      </c>
      <c r="H706" s="6" t="n"/>
    </row>
    <row r="707">
      <c r="A707" t="inlineStr">
        <is>
          <t>FUEL_MARKET_PRODUCT</t>
        </is>
      </c>
      <c r="B707" t="inlineStr">
        <is>
          <t>Entity</t>
        </is>
      </c>
      <c r="C707" t="inlineStr">
        <is>
          <t>MTED_Encryption_Required</t>
        </is>
      </c>
      <c r="D707" s="6" t="inlineStr">
        <is>
          <t>false</t>
        </is>
      </c>
      <c r="E707" s="6" t="inlineStr">
        <is>
          <t>false</t>
        </is>
      </c>
      <c r="F707" s="12" t="inlineStr">
        <is>
          <t>PASS</t>
        </is>
      </c>
      <c r="G707" t="inlineStr">
        <is>
          <t>SHL_LDM_EntityPropertyExtension.MTED_Encryption_Required</t>
        </is>
      </c>
      <c r="H707" s="6" t="n"/>
    </row>
    <row r="708">
      <c r="A708" t="inlineStr">
        <is>
          <t>FUEL_MARKET_PRODUCT</t>
        </is>
      </c>
      <c r="B708" t="inlineStr">
        <is>
          <t>Entity</t>
        </is>
      </c>
      <c r="C708" t="inlineStr">
        <is>
          <t>MappingLevel</t>
        </is>
      </c>
      <c r="D708" s="6" t="inlineStr">
        <is>
          <t>BLM</t>
        </is>
      </c>
      <c r="E708" s="6" t="inlineStr">
        <is>
          <t>BLM</t>
        </is>
      </c>
      <c r="F708" s="12" t="inlineStr">
        <is>
          <t>PASS</t>
        </is>
      </c>
      <c r="G708" t="inlineStr">
        <is>
          <t>BIM-core.MappingLevel</t>
        </is>
      </c>
      <c r="H708" s="6" t="n"/>
    </row>
    <row r="709">
      <c r="A709" t="inlineStr">
        <is>
          <t>FUEL_MARKET_PRODUCT</t>
        </is>
      </c>
      <c r="B709" t="inlineStr">
        <is>
          <t>Entity</t>
        </is>
      </c>
      <c r="C709" t="inlineStr">
        <is>
          <t>MapsToEntity</t>
        </is>
      </c>
      <c r="D709" s="6" t="inlineStr">
        <is>
          <t>FUEL_MARKET_PRODUCT</t>
        </is>
      </c>
      <c r="E709" s="6" t="inlineStr">
        <is>
          <t>FUEL_MARKET_PRODUCT</t>
        </is>
      </c>
      <c r="F709" s="12" t="inlineStr">
        <is>
          <t>PASS</t>
        </is>
      </c>
      <c r="G709" t="inlineStr">
        <is>
          <t>BIM-core.MapsToEntity</t>
        </is>
      </c>
      <c r="H709" s="6" t="n"/>
    </row>
    <row r="710">
      <c r="A710" t="inlineStr">
        <is>
          <t>FUEL_MARKET_PRODUCT</t>
        </is>
      </c>
      <c r="B710" t="inlineStr">
        <is>
          <t>Entity</t>
        </is>
      </c>
      <c r="C710" t="inlineStr">
        <is>
          <t>PD_ObjectID</t>
        </is>
      </c>
      <c r="D710" s="6" t="inlineStr">
        <is>
          <t>76CED552-1870-483C-9F62-F6F3C842E037</t>
        </is>
      </c>
      <c r="E710" s="6" t="inlineStr">
        <is>
          <t>76CED552-1870-483C-9F62-F6F3C842E037</t>
        </is>
      </c>
      <c r="F710" s="12" t="inlineStr">
        <is>
          <t>PASS</t>
        </is>
      </c>
      <c r="H710" s="6" t="n"/>
    </row>
    <row r="711">
      <c r="A711" t="inlineStr">
        <is>
          <t>FUEL_MARKET_PRODUCT</t>
        </is>
      </c>
      <c r="B711" t="inlineStr">
        <is>
          <t>Entity</t>
        </is>
      </c>
      <c r="C711" t="inlineStr">
        <is>
          <t>PD_SourceExtraction</t>
        </is>
      </c>
      <c r="D711" s="6" t="inlineStr">
        <is>
          <t>46603045</t>
        </is>
      </c>
      <c r="E711" s="6" t="inlineStr">
        <is>
          <t>46603045</t>
        </is>
      </c>
      <c r="F711" s="12" t="inlineStr">
        <is>
          <t>PASS</t>
        </is>
      </c>
      <c r="H711" s="6" t="n"/>
    </row>
    <row r="712">
      <c r="A712" t="inlineStr">
        <is>
          <t>FUEL_MARKET_PRODUCT</t>
        </is>
      </c>
      <c r="B712" t="inlineStr">
        <is>
          <t>Entity</t>
        </is>
      </c>
      <c r="C712" t="inlineStr">
        <is>
          <t>PD_SourceModel</t>
        </is>
      </c>
      <c r="D712" s="6" t="inlineStr">
        <is>
          <t>05_Carbon_Calculator</t>
        </is>
      </c>
      <c r="E712" s="6" t="inlineStr">
        <is>
          <t>05_Carbon_Calculator</t>
        </is>
      </c>
      <c r="F712" s="12" t="inlineStr">
        <is>
          <t>PASS</t>
        </is>
      </c>
      <c r="H712" s="6" t="n"/>
    </row>
    <row r="713">
      <c r="A713" t="inlineStr">
        <is>
          <t>FUEL_MARKET_PRODUCT</t>
        </is>
      </c>
      <c r="B713" t="inlineStr">
        <is>
          <t>Entity</t>
        </is>
      </c>
      <c r="C713" t="inlineStr">
        <is>
          <t>SensitivePersonalData</t>
        </is>
      </c>
      <c r="D713" s="6" t="inlineStr">
        <is>
          <t>No Sensitive Personal Data</t>
        </is>
      </c>
      <c r="E713" s="6" t="inlineStr">
        <is>
          <t>No Sensitive Personal Data</t>
        </is>
      </c>
      <c r="F713" s="12" t="inlineStr">
        <is>
          <t>PASS</t>
        </is>
      </c>
      <c r="G713" t="inlineStr">
        <is>
          <t>BIM-core.SensitivePersonalData</t>
        </is>
      </c>
      <c r="H713" s="6" t="n"/>
    </row>
    <row r="714">
      <c r="A714" t="inlineStr">
        <is>
          <t>FUEL_PRODUCT</t>
        </is>
      </c>
      <c r="B714" t="inlineStr">
        <is>
          <t>Entity</t>
        </is>
      </c>
      <c r="C714" t="inlineStr">
        <is>
          <t>CSI</t>
        </is>
      </c>
      <c r="D714" s="6" t="inlineStr">
        <is>
          <t>false</t>
        </is>
      </c>
      <c r="E714" s="6" t="inlineStr">
        <is>
          <t>false</t>
        </is>
      </c>
      <c r="F714" s="12" t="inlineStr">
        <is>
          <t>PASS</t>
        </is>
      </c>
      <c r="G714" t="inlineStr">
        <is>
          <t>SHL_LDM_EntityPropertyExtension.CSI</t>
        </is>
      </c>
      <c r="H714" s="6" t="n"/>
    </row>
    <row r="715">
      <c r="A715" t="inlineStr">
        <is>
          <t>FUEL_PRODUCT</t>
        </is>
      </c>
      <c r="B715" t="inlineStr">
        <is>
          <t>Entity</t>
        </is>
      </c>
      <c r="C715" t="inlineStr">
        <is>
          <t>CommerciallySensitiveInformation</t>
        </is>
      </c>
      <c r="D715" s="6" t="inlineStr">
        <is>
          <t>No Commercially Sensitive Information</t>
        </is>
      </c>
      <c r="E715" s="6" t="inlineStr">
        <is>
          <t>No Commercially Sensitive Information</t>
        </is>
      </c>
      <c r="F715" s="12" t="inlineStr">
        <is>
          <t>PASS</t>
        </is>
      </c>
      <c r="G715" t="inlineStr">
        <is>
          <t>BIM-core.CommerciallySensitiveInformation</t>
        </is>
      </c>
      <c r="H715" s="6" t="n"/>
    </row>
    <row r="716">
      <c r="A716" t="inlineStr">
        <is>
          <t>FUEL_PRODUCT</t>
        </is>
      </c>
      <c r="B716" t="inlineStr">
        <is>
          <t>Entity</t>
        </is>
      </c>
      <c r="C716" t="inlineStr">
        <is>
          <t>Criticality</t>
        </is>
      </c>
      <c r="D716" s="6" t="inlineStr">
        <is>
          <t>No Critical Data</t>
        </is>
      </c>
      <c r="E716" s="6" t="inlineStr">
        <is>
          <t>No Critical Data</t>
        </is>
      </c>
      <c r="F716" s="12" t="inlineStr">
        <is>
          <t>PASS</t>
        </is>
      </c>
      <c r="G716" t="inlineStr">
        <is>
          <t>BIM-core.Criticality</t>
        </is>
      </c>
      <c r="H716" s="6" t="n"/>
    </row>
    <row r="717">
      <c r="A717" t="inlineStr">
        <is>
          <t>FUEL_PRODUCT</t>
        </is>
      </c>
      <c r="B717" t="inlineStr">
        <is>
          <t>Entity</t>
        </is>
      </c>
      <c r="C717" t="inlineStr">
        <is>
          <t>DataCategory</t>
        </is>
      </c>
      <c r="D717" s="6" t="inlineStr">
        <is>
          <t>Structured</t>
        </is>
      </c>
      <c r="E717" s="6" t="inlineStr">
        <is>
          <t>Structured</t>
        </is>
      </c>
      <c r="F717" s="12" t="inlineStr">
        <is>
          <t>PASS</t>
        </is>
      </c>
      <c r="G717" t="inlineStr">
        <is>
          <t>BIM-core.DataCategory</t>
        </is>
      </c>
      <c r="H717" s="6" t="n"/>
    </row>
    <row r="718">
      <c r="A718" t="inlineStr">
        <is>
          <t>FUEL_PRODUCT</t>
        </is>
      </c>
      <c r="B718" t="inlineStr">
        <is>
          <t>Entity</t>
        </is>
      </c>
      <c r="C718" t="inlineStr">
        <is>
          <t>DataConfidentiality</t>
        </is>
      </c>
      <c r="D718" s="6" t="inlineStr">
        <is>
          <t>Internal</t>
        </is>
      </c>
      <c r="E718" s="6" t="inlineStr">
        <is>
          <t>Internal</t>
        </is>
      </c>
      <c r="F718" s="12" t="inlineStr">
        <is>
          <t>PASS</t>
        </is>
      </c>
      <c r="G718" t="inlineStr">
        <is>
          <t>BIM-core.DataConfidentiality</t>
        </is>
      </c>
      <c r="H718" s="6" t="n"/>
    </row>
    <row r="719">
      <c r="A719" t="inlineStr">
        <is>
          <t>FUEL_PRODUCT</t>
        </is>
      </c>
      <c r="B719" t="inlineStr">
        <is>
          <t>Entity</t>
        </is>
      </c>
      <c r="C719" t="inlineStr">
        <is>
          <t>DesignStatus</t>
        </is>
      </c>
      <c r="D719" s="6" t="inlineStr">
        <is>
          <t>Approved</t>
        </is>
      </c>
      <c r="E719" s="6" t="inlineStr">
        <is>
          <t>Approved</t>
        </is>
      </c>
      <c r="F719" s="12" t="inlineStr">
        <is>
          <t>PASS</t>
        </is>
      </c>
      <c r="G719" t="inlineStr">
        <is>
          <t>BIM-core.DesignStatus</t>
        </is>
      </c>
      <c r="H719" s="6" t="n"/>
    </row>
    <row r="720">
      <c r="A720" t="inlineStr">
        <is>
          <t>FUEL_PRODUCT</t>
        </is>
      </c>
      <c r="B720" t="inlineStr">
        <is>
          <t>Entity</t>
        </is>
      </c>
      <c r="C720" t="inlineStr">
        <is>
          <t>EntityCategory</t>
        </is>
      </c>
      <c r="D720" s="6" t="inlineStr">
        <is>
          <t>Master</t>
        </is>
      </c>
      <c r="E720" s="6" t="inlineStr">
        <is>
          <t>Master</t>
        </is>
      </c>
      <c r="F720" s="12" t="inlineStr">
        <is>
          <t>PASS</t>
        </is>
      </c>
      <c r="G720" t="inlineStr">
        <is>
          <t>BIM-core.EntityCategory</t>
        </is>
      </c>
      <c r="H720" s="6" t="n"/>
    </row>
    <row r="721">
      <c r="A721" t="inlineStr">
        <is>
          <t>FUEL_PRODUCT</t>
        </is>
      </c>
      <c r="B721" t="inlineStr">
        <is>
          <t>Entity</t>
        </is>
      </c>
      <c r="C721" t="inlineStr">
        <is>
          <t>EntityPersonalData</t>
        </is>
      </c>
      <c r="D721" s="6" t="inlineStr">
        <is>
          <t>No Personal Data</t>
        </is>
      </c>
      <c r="E721" s="6" t="inlineStr">
        <is>
          <t>No Personal Data</t>
        </is>
      </c>
      <c r="F721" s="12" t="inlineStr">
        <is>
          <t>PASS</t>
        </is>
      </c>
      <c r="G721" t="inlineStr">
        <is>
          <t>BIM-core.EntityPersonalData</t>
        </is>
      </c>
      <c r="H721" s="6" t="n"/>
    </row>
    <row r="722">
      <c r="A722" t="inlineStr">
        <is>
          <t>FUEL_PRODUCT</t>
        </is>
      </c>
      <c r="B722" t="inlineStr">
        <is>
          <t>Entity</t>
        </is>
      </c>
      <c r="C722" t="inlineStr">
        <is>
          <t>FinancialPersonalData</t>
        </is>
      </c>
      <c r="D722" s="6" t="inlineStr">
        <is>
          <t>No Financial Personal Data</t>
        </is>
      </c>
      <c r="E722" s="6" t="inlineStr">
        <is>
          <t>No Financial Personal Data</t>
        </is>
      </c>
      <c r="F722" s="12" t="inlineStr">
        <is>
          <t>PASS</t>
        </is>
      </c>
      <c r="G722" t="inlineStr">
        <is>
          <t>BIM-core.FinancialPersonalData</t>
        </is>
      </c>
      <c r="H722" s="6" t="n"/>
    </row>
    <row r="723">
      <c r="A723" t="inlineStr">
        <is>
          <t>FUEL_PRODUCT</t>
        </is>
      </c>
      <c r="B723" t="inlineStr">
        <is>
          <t>Entity</t>
        </is>
      </c>
      <c r="C723" t="inlineStr">
        <is>
          <t>MTED_EDaM_Design_Status</t>
        </is>
      </c>
      <c r="D723" s="6" t="inlineStr">
        <is>
          <t>Approved</t>
        </is>
      </c>
      <c r="E723" s="6" t="inlineStr">
        <is>
          <t>Approved</t>
        </is>
      </c>
      <c r="F723" s="12" t="inlineStr">
        <is>
          <t>PASS</t>
        </is>
      </c>
      <c r="G723" t="inlineStr">
        <is>
          <t>SHL_LDM_EntityPropertyExtension.MTED_EDaM_Design_Status</t>
        </is>
      </c>
      <c r="H723" s="6" t="n"/>
    </row>
    <row r="724">
      <c r="A724" t="inlineStr">
        <is>
          <t>FUEL_PRODUCT</t>
        </is>
      </c>
      <c r="B724" t="inlineStr">
        <is>
          <t>Entity</t>
        </is>
      </c>
      <c r="C724" t="inlineStr">
        <is>
          <t>MTED_EDaM_Entity_Data_Category</t>
        </is>
      </c>
      <c r="D724" s="6" t="inlineStr">
        <is>
          <t>Reference</t>
        </is>
      </c>
      <c r="E724" s="6" t="inlineStr">
        <is>
          <t>Reference</t>
        </is>
      </c>
      <c r="F724" s="12" t="inlineStr">
        <is>
          <t>PASS</t>
        </is>
      </c>
      <c r="G724" t="inlineStr">
        <is>
          <t>SHL_LDM_EntityPropertyExtension.MTED_EDaM_Entity_Data_Category</t>
        </is>
      </c>
      <c r="H724" s="6" t="n"/>
    </row>
    <row r="725">
      <c r="A725" t="inlineStr">
        <is>
          <t>FUEL_PRODUCT</t>
        </is>
      </c>
      <c r="B725" t="inlineStr">
        <is>
          <t>Entity</t>
        </is>
      </c>
      <c r="C725" t="inlineStr">
        <is>
          <t>MTED_EDaM_Mapping_Level</t>
        </is>
      </c>
      <c r="D725" s="6" t="inlineStr">
        <is>
          <t>02 - Conceptual</t>
        </is>
      </c>
      <c r="E725" s="6" t="inlineStr">
        <is>
          <t>02 - Conceptual</t>
        </is>
      </c>
      <c r="F725" s="12" t="inlineStr">
        <is>
          <t>PASS</t>
        </is>
      </c>
      <c r="G725" t="inlineStr">
        <is>
          <t>SHL_LDM_EntityPropertyExtension.MTED_EDaM_Mapping_Level</t>
        </is>
      </c>
      <c r="H725" s="6" t="n"/>
    </row>
    <row r="726">
      <c r="A726" t="inlineStr">
        <is>
          <t>FUEL_PRODUCT</t>
        </is>
      </c>
      <c r="B726" t="inlineStr">
        <is>
          <t>Entity</t>
        </is>
      </c>
      <c r="C726" t="inlineStr">
        <is>
          <t>MTED_EDaM_Security_Classification</t>
        </is>
      </c>
      <c r="D726" s="6" t="inlineStr">
        <is>
          <t>Restricted</t>
        </is>
      </c>
      <c r="E726" s="6" t="inlineStr">
        <is>
          <t>Restricted</t>
        </is>
      </c>
      <c r="F726" s="12" t="inlineStr">
        <is>
          <t>PASS</t>
        </is>
      </c>
      <c r="G726" t="inlineStr">
        <is>
          <t>SHL_LDM_EntityPropertyExtension.MTED_EDaM_Security_Classification</t>
        </is>
      </c>
      <c r="H726" s="6" t="n"/>
    </row>
    <row r="727">
      <c r="A727" t="inlineStr">
        <is>
          <t>FUEL_PRODUCT</t>
        </is>
      </c>
      <c r="B727" t="inlineStr">
        <is>
          <t>Entity</t>
        </is>
      </c>
      <c r="C727" t="inlineStr">
        <is>
          <t>MTED_Encryption_Required</t>
        </is>
      </c>
      <c r="D727" s="6" t="inlineStr">
        <is>
          <t>false</t>
        </is>
      </c>
      <c r="E727" s="6" t="inlineStr">
        <is>
          <t>false</t>
        </is>
      </c>
      <c r="F727" s="12" t="inlineStr">
        <is>
          <t>PASS</t>
        </is>
      </c>
      <c r="G727" t="inlineStr">
        <is>
          <t>SHL_LDM_EntityPropertyExtension.MTED_Encryption_Required</t>
        </is>
      </c>
      <c r="H727" s="6" t="n"/>
    </row>
    <row r="728">
      <c r="A728" t="inlineStr">
        <is>
          <t>FUEL_PRODUCT</t>
        </is>
      </c>
      <c r="B728" t="inlineStr">
        <is>
          <t>Entity</t>
        </is>
      </c>
      <c r="C728" t="inlineStr">
        <is>
          <t>MappingLevel</t>
        </is>
      </c>
      <c r="D728" s="6" t="inlineStr">
        <is>
          <t>BLM</t>
        </is>
      </c>
      <c r="E728" s="6" t="inlineStr">
        <is>
          <t>BLM</t>
        </is>
      </c>
      <c r="F728" s="12" t="inlineStr">
        <is>
          <t>PASS</t>
        </is>
      </c>
      <c r="G728" t="inlineStr">
        <is>
          <t>BIM-core.MappingLevel</t>
        </is>
      </c>
      <c r="H728" s="6" t="n"/>
    </row>
    <row r="729">
      <c r="A729" t="inlineStr">
        <is>
          <t>FUEL_PRODUCT</t>
        </is>
      </c>
      <c r="B729" t="inlineStr">
        <is>
          <t>Entity</t>
        </is>
      </c>
      <c r="C729" t="inlineStr">
        <is>
          <t>MapsToEntity</t>
        </is>
      </c>
      <c r="D729" s="6" t="inlineStr">
        <is>
          <t>FUEL_PRODUCT</t>
        </is>
      </c>
      <c r="E729" s="6" t="inlineStr">
        <is>
          <t>FUEL_PRODUCT</t>
        </is>
      </c>
      <c r="F729" s="12" t="inlineStr">
        <is>
          <t>PASS</t>
        </is>
      </c>
      <c r="G729" t="inlineStr">
        <is>
          <t>BIM-core.MapsToEntity</t>
        </is>
      </c>
      <c r="H729" s="6" t="n"/>
    </row>
    <row r="730">
      <c r="A730" t="inlineStr">
        <is>
          <t>FUEL_PRODUCT</t>
        </is>
      </c>
      <c r="B730" t="inlineStr">
        <is>
          <t>Entity</t>
        </is>
      </c>
      <c r="C730" t="inlineStr">
        <is>
          <t>PD_ObjectID</t>
        </is>
      </c>
      <c r="D730" s="6" t="inlineStr">
        <is>
          <t>5B7B3BA7-03E2-4C1E-898A-102E42FC2DD4</t>
        </is>
      </c>
      <c r="E730" s="6" t="inlineStr">
        <is>
          <t>5B7B3BA7-03E2-4C1E-898A-102E42FC2DD4</t>
        </is>
      </c>
      <c r="F730" s="12" t="inlineStr">
        <is>
          <t>PASS</t>
        </is>
      </c>
      <c r="H730" s="6" t="n"/>
    </row>
    <row r="731">
      <c r="A731" t="inlineStr">
        <is>
          <t>FUEL_PRODUCT</t>
        </is>
      </c>
      <c r="B731" t="inlineStr">
        <is>
          <t>Entity</t>
        </is>
      </c>
      <c r="C731" t="inlineStr">
        <is>
          <t>PD_SourceExtraction</t>
        </is>
      </c>
      <c r="D731" s="6" t="inlineStr">
        <is>
          <t>46603045</t>
        </is>
      </c>
      <c r="E731" s="6" t="inlineStr">
        <is>
          <t>46603045</t>
        </is>
      </c>
      <c r="F731" s="12" t="inlineStr">
        <is>
          <t>PASS</t>
        </is>
      </c>
      <c r="H731" s="6" t="n"/>
    </row>
    <row r="732">
      <c r="A732" t="inlineStr">
        <is>
          <t>FUEL_PRODUCT</t>
        </is>
      </c>
      <c r="B732" t="inlineStr">
        <is>
          <t>Entity</t>
        </is>
      </c>
      <c r="C732" t="inlineStr">
        <is>
          <t>PD_SourceModel</t>
        </is>
      </c>
      <c r="D732" s="6" t="inlineStr">
        <is>
          <t>05_Carbon_Calculator</t>
        </is>
      </c>
      <c r="E732" s="6" t="inlineStr">
        <is>
          <t>05_Carbon_Calculator</t>
        </is>
      </c>
      <c r="F732" s="12" t="inlineStr">
        <is>
          <t>PASS</t>
        </is>
      </c>
      <c r="H732" s="6" t="n"/>
    </row>
    <row r="733">
      <c r="A733" t="inlineStr">
        <is>
          <t>FUEL_PRODUCT</t>
        </is>
      </c>
      <c r="B733" t="inlineStr">
        <is>
          <t>Entity</t>
        </is>
      </c>
      <c r="C733" t="inlineStr">
        <is>
          <t>SensitivePersonalData</t>
        </is>
      </c>
      <c r="D733" s="6" t="inlineStr">
        <is>
          <t>No Sensitive Personal Data</t>
        </is>
      </c>
      <c r="E733" s="6" t="inlineStr">
        <is>
          <t>No Sensitive Personal Data</t>
        </is>
      </c>
      <c r="F733" s="12" t="inlineStr">
        <is>
          <t>PASS</t>
        </is>
      </c>
      <c r="G733" t="inlineStr">
        <is>
          <t>BIM-core.SensitivePersonalData</t>
        </is>
      </c>
      <c r="H733" s="6" t="n"/>
    </row>
    <row r="734">
      <c r="A734" t="inlineStr">
        <is>
          <t>FUEL_PRODUCT_DEFAULT</t>
        </is>
      </c>
      <c r="B734" t="inlineStr">
        <is>
          <t>Entity</t>
        </is>
      </c>
      <c r="C734" t="inlineStr">
        <is>
          <t>CommerciallySensitiveInformation</t>
        </is>
      </c>
      <c r="D734" s="6" t="inlineStr">
        <is>
          <t>No Commercially Sensitive Information</t>
        </is>
      </c>
      <c r="E734" s="6" t="inlineStr">
        <is>
          <t>No Commercially Sensitive Information</t>
        </is>
      </c>
      <c r="F734" s="12" t="inlineStr">
        <is>
          <t>PASS</t>
        </is>
      </c>
      <c r="G734" t="inlineStr">
        <is>
          <t>BIM-core.CommerciallySensitiveInformation</t>
        </is>
      </c>
      <c r="H734" s="6" t="n"/>
    </row>
    <row r="735">
      <c r="A735" t="inlineStr">
        <is>
          <t>FUEL_PRODUCT_DEFAULT</t>
        </is>
      </c>
      <c r="B735" t="inlineStr">
        <is>
          <t>Entity</t>
        </is>
      </c>
      <c r="C735" t="inlineStr">
        <is>
          <t>Criticality</t>
        </is>
      </c>
      <c r="D735" s="6" t="inlineStr">
        <is>
          <t>No Critical Data</t>
        </is>
      </c>
      <c r="E735" s="6" t="inlineStr">
        <is>
          <t>No Critical Data</t>
        </is>
      </c>
      <c r="F735" s="12" t="inlineStr">
        <is>
          <t>PASS</t>
        </is>
      </c>
      <c r="G735" t="inlineStr">
        <is>
          <t>BIM-core.Criticality</t>
        </is>
      </c>
      <c r="H735" s="6" t="n"/>
    </row>
    <row r="736">
      <c r="A736" t="inlineStr">
        <is>
          <t>FUEL_PRODUCT_DEFAULT</t>
        </is>
      </c>
      <c r="B736" t="inlineStr">
        <is>
          <t>Entity</t>
        </is>
      </c>
      <c r="C736" t="inlineStr">
        <is>
          <t>DataCategory</t>
        </is>
      </c>
      <c r="D736" s="6" t="inlineStr">
        <is>
          <t>Structured</t>
        </is>
      </c>
      <c r="E736" s="6" t="inlineStr">
        <is>
          <t>Structured</t>
        </is>
      </c>
      <c r="F736" s="12" t="inlineStr">
        <is>
          <t>PASS</t>
        </is>
      </c>
      <c r="G736" t="inlineStr">
        <is>
          <t>BIM-core.DataCategory</t>
        </is>
      </c>
      <c r="H736" s="6" t="n"/>
    </row>
    <row r="737">
      <c r="A737" t="inlineStr">
        <is>
          <t>FUEL_PRODUCT_DEFAULT</t>
        </is>
      </c>
      <c r="B737" t="inlineStr">
        <is>
          <t>Entity</t>
        </is>
      </c>
      <c r="C737" t="inlineStr">
        <is>
          <t>DataConfidentiality</t>
        </is>
      </c>
      <c r="D737" s="6" t="inlineStr">
        <is>
          <t>Internal</t>
        </is>
      </c>
      <c r="E737" s="6" t="inlineStr">
        <is>
          <t>Internal</t>
        </is>
      </c>
      <c r="F737" s="12" t="inlineStr">
        <is>
          <t>PASS</t>
        </is>
      </c>
      <c r="G737" t="inlineStr">
        <is>
          <t>BIM-core.DataConfidentiality</t>
        </is>
      </c>
      <c r="H737" s="6" t="n"/>
    </row>
    <row r="738">
      <c r="A738" t="inlineStr">
        <is>
          <t>FUEL_PRODUCT_DEFAULT</t>
        </is>
      </c>
      <c r="B738" t="inlineStr">
        <is>
          <t>Entity</t>
        </is>
      </c>
      <c r="C738" t="inlineStr">
        <is>
          <t>DesignStatus</t>
        </is>
      </c>
      <c r="D738" s="6" t="inlineStr">
        <is>
          <t>Approved</t>
        </is>
      </c>
      <c r="E738" s="6" t="inlineStr">
        <is>
          <t>Approved</t>
        </is>
      </c>
      <c r="F738" s="12" t="inlineStr">
        <is>
          <t>PASS</t>
        </is>
      </c>
      <c r="G738" t="inlineStr">
        <is>
          <t>BIM-core.DesignStatus</t>
        </is>
      </c>
      <c r="H738" s="6" t="n"/>
    </row>
    <row r="739">
      <c r="A739" t="inlineStr">
        <is>
          <t>FUEL_PRODUCT_DEFAULT</t>
        </is>
      </c>
      <c r="B739" t="inlineStr">
        <is>
          <t>Entity</t>
        </is>
      </c>
      <c r="C739" t="inlineStr">
        <is>
          <t>EntityCategory</t>
        </is>
      </c>
      <c r="D739" s="6" t="inlineStr">
        <is>
          <t>Master</t>
        </is>
      </c>
      <c r="E739" s="6" t="inlineStr">
        <is>
          <t>Master</t>
        </is>
      </c>
      <c r="F739" s="12" t="inlineStr">
        <is>
          <t>PASS</t>
        </is>
      </c>
      <c r="G739" t="inlineStr">
        <is>
          <t>BIM-core.EntityCategory</t>
        </is>
      </c>
      <c r="H739" s="6" t="n"/>
    </row>
    <row r="740">
      <c r="A740" t="inlineStr">
        <is>
          <t>FUEL_PRODUCT_DEFAULT</t>
        </is>
      </c>
      <c r="B740" t="inlineStr">
        <is>
          <t>Entity</t>
        </is>
      </c>
      <c r="C740" t="inlineStr">
        <is>
          <t>EntityPersonalData</t>
        </is>
      </c>
      <c r="D740" s="6" t="inlineStr">
        <is>
          <t>No Personal Data</t>
        </is>
      </c>
      <c r="E740" s="6" t="inlineStr">
        <is>
          <t>No Personal Data</t>
        </is>
      </c>
      <c r="F740" s="12" t="inlineStr">
        <is>
          <t>PASS</t>
        </is>
      </c>
      <c r="G740" t="inlineStr">
        <is>
          <t>BIM-core.EntityPersonalData</t>
        </is>
      </c>
      <c r="H740" s="6" t="n"/>
    </row>
    <row r="741">
      <c r="A741" t="inlineStr">
        <is>
          <t>FUEL_PRODUCT_DEFAULT</t>
        </is>
      </c>
      <c r="B741" t="inlineStr">
        <is>
          <t>Entity</t>
        </is>
      </c>
      <c r="C741" t="inlineStr">
        <is>
          <t>FinancialPersonalData</t>
        </is>
      </c>
      <c r="D741" s="6" t="inlineStr">
        <is>
          <t>No Financial Personal Data</t>
        </is>
      </c>
      <c r="E741" s="6" t="inlineStr">
        <is>
          <t>No Financial Personal Data</t>
        </is>
      </c>
      <c r="F741" s="12" t="inlineStr">
        <is>
          <t>PASS</t>
        </is>
      </c>
      <c r="G741" t="inlineStr">
        <is>
          <t>BIM-core.FinancialPersonalData</t>
        </is>
      </c>
      <c r="H741" s="6" t="n"/>
    </row>
    <row r="742">
      <c r="A742" t="inlineStr">
        <is>
          <t>FUEL_PRODUCT_DEFAULT</t>
        </is>
      </c>
      <c r="B742" t="inlineStr">
        <is>
          <t>Entity</t>
        </is>
      </c>
      <c r="C742" t="inlineStr">
        <is>
          <t>MTED_EDaM_Mapping_Note</t>
        </is>
      </c>
      <c r="D742" s="6" t="inlineStr">
        <is>
          <t>{\rtf1\ansi\ansicpg1252\deff0\nouicompat\deflang2057{\fonttbl{\f0\fnil\fcharset0 Times New Roman;}}</t>
        </is>
      </c>
      <c r="E742" s="6" t="inlineStr">
        <is>
          <t>{\rtf1\ansi\ansicpg1252\deff0\nouicompat\deflang2057{\fonttbl{\f0\fnil\fcharset0 Times New Roman;}}</t>
        </is>
      </c>
      <c r="F742" s="12" t="inlineStr">
        <is>
          <t>PASS</t>
        </is>
      </c>
      <c r="G742" t="inlineStr">
        <is>
          <t>BIM-core.MTED_EDaM_Mapping_Note</t>
        </is>
      </c>
      <c r="H742" s="6" t="n"/>
    </row>
    <row r="743">
      <c r="A743" t="inlineStr">
        <is>
          <t>FUEL_PRODUCT_DEFAULT</t>
        </is>
      </c>
      <c r="B743" t="inlineStr">
        <is>
          <t>Entity</t>
        </is>
      </c>
      <c r="C743" t="inlineStr">
        <is>
          <t>MappingLevel</t>
        </is>
      </c>
      <c r="D743" s="6" t="inlineStr">
        <is>
          <t>Application Specific</t>
        </is>
      </c>
      <c r="E743" s="6" t="inlineStr">
        <is>
          <t>Application Specific</t>
        </is>
      </c>
      <c r="F743" s="12" t="inlineStr">
        <is>
          <t>PASS</t>
        </is>
      </c>
      <c r="G743" t="inlineStr">
        <is>
          <t>BIM-core.MappingLevel</t>
        </is>
      </c>
      <c r="H743" s="6" t="n"/>
    </row>
    <row r="744">
      <c r="A744" t="inlineStr">
        <is>
          <t>FUEL_PRODUCT_DEFAULT</t>
        </is>
      </c>
      <c r="B744" t="inlineStr">
        <is>
          <t>Entity</t>
        </is>
      </c>
      <c r="C744" t="inlineStr">
        <is>
          <t>PD_ObjectID</t>
        </is>
      </c>
      <c r="D744" s="6" t="inlineStr">
        <is>
          <t>1FCB0896-A733-411F-B686-24C65033C3A2</t>
        </is>
      </c>
      <c r="E744" s="6" t="inlineStr">
        <is>
          <t>1FCB0896-A733-411F-B686-24C65033C3A2</t>
        </is>
      </c>
      <c r="F744" s="12" t="inlineStr">
        <is>
          <t>PASS</t>
        </is>
      </c>
      <c r="H744" s="6" t="n"/>
    </row>
    <row r="745">
      <c r="A745" t="inlineStr">
        <is>
          <t>FUEL_PRODUCT_DEFAULT</t>
        </is>
      </c>
      <c r="B745" t="inlineStr">
        <is>
          <t>Entity</t>
        </is>
      </c>
      <c r="C745" t="inlineStr">
        <is>
          <t>PD_SourceExtraction</t>
        </is>
      </c>
      <c r="D745" s="6" t="inlineStr">
        <is>
          <t>46603045</t>
        </is>
      </c>
      <c r="E745" s="6" t="inlineStr">
        <is>
          <t>46603045</t>
        </is>
      </c>
      <c r="F745" s="12" t="inlineStr">
        <is>
          <t>PASS</t>
        </is>
      </c>
      <c r="H745" s="6" t="n"/>
    </row>
    <row r="746">
      <c r="A746" t="inlineStr">
        <is>
          <t>FUEL_PRODUCT_DEFAULT</t>
        </is>
      </c>
      <c r="B746" t="inlineStr">
        <is>
          <t>Entity</t>
        </is>
      </c>
      <c r="C746" t="inlineStr">
        <is>
          <t>PD_SourceModel</t>
        </is>
      </c>
      <c r="D746" s="6" t="inlineStr">
        <is>
          <t>05_Carbon_Calculator</t>
        </is>
      </c>
      <c r="E746" s="6" t="inlineStr">
        <is>
          <t>05_Carbon_Calculator</t>
        </is>
      </c>
      <c r="F746" s="12" t="inlineStr">
        <is>
          <t>PASS</t>
        </is>
      </c>
      <c r="H746" s="6" t="n"/>
    </row>
    <row r="747">
      <c r="A747" t="inlineStr">
        <is>
          <t>FUEL_PRODUCT_DEFAULT</t>
        </is>
      </c>
      <c r="B747" t="inlineStr">
        <is>
          <t>Entity</t>
        </is>
      </c>
      <c r="C747" t="inlineStr">
        <is>
          <t>SensitivePersonalData</t>
        </is>
      </c>
      <c r="D747" s="6" t="inlineStr">
        <is>
          <t>No Sensitive Personal Data</t>
        </is>
      </c>
      <c r="E747" s="6" t="inlineStr">
        <is>
          <t>No Sensitive Personal Data</t>
        </is>
      </c>
      <c r="F747" s="12" t="inlineStr">
        <is>
          <t>PASS</t>
        </is>
      </c>
      <c r="G747" t="inlineStr">
        <is>
          <t>BIM-core.SensitivePersonalData</t>
        </is>
      </c>
      <c r="H747" s="6" t="n"/>
    </row>
    <row r="748">
      <c r="A748" t="inlineStr">
        <is>
          <t>FUEL_PRODUCT_REGION</t>
        </is>
      </c>
      <c r="B748" t="inlineStr">
        <is>
          <t>Entity</t>
        </is>
      </c>
      <c r="C748" t="inlineStr">
        <is>
          <t>CSI</t>
        </is>
      </c>
      <c r="D748" s="6" t="inlineStr">
        <is>
          <t>false</t>
        </is>
      </c>
      <c r="E748" s="6" t="inlineStr">
        <is>
          <t>false</t>
        </is>
      </c>
      <c r="F748" s="12" t="inlineStr">
        <is>
          <t>PASS</t>
        </is>
      </c>
      <c r="G748" t="inlineStr">
        <is>
          <t>SHL_LDM_EntityPropertyExtension.CSI</t>
        </is>
      </c>
      <c r="H748" s="6" t="n"/>
    </row>
    <row r="749">
      <c r="A749" t="inlineStr">
        <is>
          <t>FUEL_PRODUCT_REGION</t>
        </is>
      </c>
      <c r="B749" t="inlineStr">
        <is>
          <t>Entity</t>
        </is>
      </c>
      <c r="C749" t="inlineStr">
        <is>
          <t>CommerciallySensitiveInformation</t>
        </is>
      </c>
      <c r="D749" s="6" t="inlineStr">
        <is>
          <t>No Commercially Sensitive Information</t>
        </is>
      </c>
      <c r="E749" s="6" t="inlineStr">
        <is>
          <t>No Commercially Sensitive Information</t>
        </is>
      </c>
      <c r="F749" s="12" t="inlineStr">
        <is>
          <t>PASS</t>
        </is>
      </c>
      <c r="G749" t="inlineStr">
        <is>
          <t>BIM-core.CommerciallySensitiveInformation</t>
        </is>
      </c>
      <c r="H749" s="6" t="n"/>
    </row>
    <row r="750">
      <c r="A750" t="inlineStr">
        <is>
          <t>FUEL_PRODUCT_REGION</t>
        </is>
      </c>
      <c r="B750" t="inlineStr">
        <is>
          <t>Entity</t>
        </is>
      </c>
      <c r="C750" t="inlineStr">
        <is>
          <t>Criticality</t>
        </is>
      </c>
      <c r="D750" s="6" t="inlineStr">
        <is>
          <t>No Critical Data</t>
        </is>
      </c>
      <c r="E750" s="6" t="inlineStr">
        <is>
          <t>No Critical Data</t>
        </is>
      </c>
      <c r="F750" s="12" t="inlineStr">
        <is>
          <t>PASS</t>
        </is>
      </c>
      <c r="G750" t="inlineStr">
        <is>
          <t>BIM-core.Criticality</t>
        </is>
      </c>
      <c r="H750" s="6" t="n"/>
    </row>
    <row r="751">
      <c r="A751" t="inlineStr">
        <is>
          <t>FUEL_PRODUCT_REGION</t>
        </is>
      </c>
      <c r="B751" t="inlineStr">
        <is>
          <t>Entity</t>
        </is>
      </c>
      <c r="C751" t="inlineStr">
        <is>
          <t>DataCategory</t>
        </is>
      </c>
      <c r="D751" s="6" t="inlineStr">
        <is>
          <t>Structured</t>
        </is>
      </c>
      <c r="E751" s="6" t="inlineStr">
        <is>
          <t>Structured</t>
        </is>
      </c>
      <c r="F751" s="12" t="inlineStr">
        <is>
          <t>PASS</t>
        </is>
      </c>
      <c r="G751" t="inlineStr">
        <is>
          <t>BIM-core.DataCategory</t>
        </is>
      </c>
      <c r="H751" s="6" t="n"/>
    </row>
    <row r="752">
      <c r="A752" t="inlineStr">
        <is>
          <t>FUEL_PRODUCT_REGION</t>
        </is>
      </c>
      <c r="B752" t="inlineStr">
        <is>
          <t>Entity</t>
        </is>
      </c>
      <c r="C752" t="inlineStr">
        <is>
          <t>DataConfidentiality</t>
        </is>
      </c>
      <c r="D752" s="6" t="inlineStr">
        <is>
          <t>Confidential</t>
        </is>
      </c>
      <c r="E752" s="6" t="inlineStr">
        <is>
          <t>Confidential</t>
        </is>
      </c>
      <c r="F752" s="12" t="inlineStr">
        <is>
          <t>PASS</t>
        </is>
      </c>
      <c r="G752" t="inlineStr">
        <is>
          <t>BIM-core.DataConfidentiality</t>
        </is>
      </c>
      <c r="H752" s="6" t="n"/>
    </row>
    <row r="753">
      <c r="A753" t="inlineStr">
        <is>
          <t>FUEL_PRODUCT_REGION</t>
        </is>
      </c>
      <c r="B753" t="inlineStr">
        <is>
          <t>Entity</t>
        </is>
      </c>
      <c r="C753" t="inlineStr">
        <is>
          <t>DesignStatus</t>
        </is>
      </c>
      <c r="D753" s="6" t="inlineStr">
        <is>
          <t>Approved</t>
        </is>
      </c>
      <c r="E753" s="6" t="inlineStr">
        <is>
          <t>Approved</t>
        </is>
      </c>
      <c r="F753" s="12" t="inlineStr">
        <is>
          <t>PASS</t>
        </is>
      </c>
      <c r="G753" t="inlineStr">
        <is>
          <t>BIM-core.DesignStatus</t>
        </is>
      </c>
      <c r="H753" s="6" t="n"/>
    </row>
    <row r="754">
      <c r="A754" t="inlineStr">
        <is>
          <t>FUEL_PRODUCT_REGION</t>
        </is>
      </c>
      <c r="B754" t="inlineStr">
        <is>
          <t>Entity</t>
        </is>
      </c>
      <c r="C754" t="inlineStr">
        <is>
          <t>EntityCategory</t>
        </is>
      </c>
      <c r="D754" s="6" t="inlineStr">
        <is>
          <t>Intersection</t>
        </is>
      </c>
      <c r="E754" s="6" t="inlineStr">
        <is>
          <t>Intersection</t>
        </is>
      </c>
      <c r="F754" s="12" t="inlineStr">
        <is>
          <t>PASS</t>
        </is>
      </c>
      <c r="G754" t="inlineStr">
        <is>
          <t>BIM-core.EntityCategory</t>
        </is>
      </c>
      <c r="H754" s="6" t="n"/>
    </row>
    <row r="755">
      <c r="A755" t="inlineStr">
        <is>
          <t>FUEL_PRODUCT_REGION</t>
        </is>
      </c>
      <c r="B755" t="inlineStr">
        <is>
          <t>Entity</t>
        </is>
      </c>
      <c r="C755" t="inlineStr">
        <is>
          <t>EntityPersonalData</t>
        </is>
      </c>
      <c r="D755" s="6" t="inlineStr">
        <is>
          <t>No Personal Data</t>
        </is>
      </c>
      <c r="E755" s="6" t="inlineStr">
        <is>
          <t>No Personal Data</t>
        </is>
      </c>
      <c r="F755" s="12" t="inlineStr">
        <is>
          <t>PASS</t>
        </is>
      </c>
      <c r="G755" t="inlineStr">
        <is>
          <t>BIM-core.EntityPersonalData</t>
        </is>
      </c>
      <c r="H755" s="6" t="n"/>
    </row>
    <row r="756">
      <c r="A756" t="inlineStr">
        <is>
          <t>FUEL_PRODUCT_REGION</t>
        </is>
      </c>
      <c r="B756" t="inlineStr">
        <is>
          <t>Entity</t>
        </is>
      </c>
      <c r="C756" t="inlineStr">
        <is>
          <t>FinancialPersonalData</t>
        </is>
      </c>
      <c r="D756" s="6" t="inlineStr">
        <is>
          <t>No Financial Personal Data</t>
        </is>
      </c>
      <c r="E756" s="6" t="inlineStr">
        <is>
          <t>No Financial Personal Data</t>
        </is>
      </c>
      <c r="F756" s="12" t="inlineStr">
        <is>
          <t>PASS</t>
        </is>
      </c>
      <c r="G756" t="inlineStr">
        <is>
          <t>BIM-core.FinancialPersonalData</t>
        </is>
      </c>
      <c r="H756" s="6" t="n"/>
    </row>
    <row r="757">
      <c r="A757" t="inlineStr">
        <is>
          <t>FUEL_PRODUCT_REGION</t>
        </is>
      </c>
      <c r="B757" t="inlineStr">
        <is>
          <t>Entity</t>
        </is>
      </c>
      <c r="C757" t="inlineStr">
        <is>
          <t>MTED_EDaM_Mapping_Note</t>
        </is>
      </c>
      <c r="D757" s="6" t="inlineStr">
        <is>
          <t>{\rtf1\ansi\ansicpg1252\deff0\nouicompat\deflang2057{\fonttbl{\f0\fnil\fcharset0 Times New Roman;}}</t>
        </is>
      </c>
      <c r="E757" s="6" t="inlineStr">
        <is>
          <t>{\rtf1\ansi\ansicpg1252\deff0\nouicompat\deflang2057{\fonttbl{\f0\fnil\fcharset0 Times New Roman;}}</t>
        </is>
      </c>
      <c r="F757" s="12" t="inlineStr">
        <is>
          <t>PASS</t>
        </is>
      </c>
      <c r="G757" t="inlineStr">
        <is>
          <t>BIM-core.MTED_EDaM_Mapping_Note</t>
        </is>
      </c>
      <c r="H757" s="6" t="n"/>
    </row>
    <row r="758">
      <c r="A758" t="inlineStr">
        <is>
          <t>FUEL_PRODUCT_REGION</t>
        </is>
      </c>
      <c r="B758" t="inlineStr">
        <is>
          <t>Entity</t>
        </is>
      </c>
      <c r="C758" t="inlineStr">
        <is>
          <t>MTED_Encryption_Required</t>
        </is>
      </c>
      <c r="D758" s="6" t="inlineStr">
        <is>
          <t>false</t>
        </is>
      </c>
      <c r="E758" s="6" t="inlineStr">
        <is>
          <t>false</t>
        </is>
      </c>
      <c r="F758" s="12" t="inlineStr">
        <is>
          <t>PASS</t>
        </is>
      </c>
      <c r="G758" t="inlineStr">
        <is>
          <t>SHL_LDM_EntityPropertyExtension.MTED_Encryption_Required</t>
        </is>
      </c>
      <c r="H758" s="6" t="n"/>
    </row>
    <row r="759">
      <c r="A759" t="inlineStr">
        <is>
          <t>FUEL_PRODUCT_REGION</t>
        </is>
      </c>
      <c r="B759" t="inlineStr">
        <is>
          <t>Entity</t>
        </is>
      </c>
      <c r="C759" t="inlineStr">
        <is>
          <t>MappingLevel</t>
        </is>
      </c>
      <c r="D759" s="6" t="inlineStr">
        <is>
          <t>Application Specific</t>
        </is>
      </c>
      <c r="E759" s="6" t="inlineStr">
        <is>
          <t>Application Specific</t>
        </is>
      </c>
      <c r="F759" s="12" t="inlineStr">
        <is>
          <t>PASS</t>
        </is>
      </c>
      <c r="G759" t="inlineStr">
        <is>
          <t>BIM-core.MappingLevel</t>
        </is>
      </c>
      <c r="H759" s="6" t="n"/>
    </row>
    <row r="760">
      <c r="A760" t="inlineStr">
        <is>
          <t>FUEL_PRODUCT_REGION</t>
        </is>
      </c>
      <c r="B760" t="inlineStr">
        <is>
          <t>Entity</t>
        </is>
      </c>
      <c r="C760" t="inlineStr">
        <is>
          <t>PD_ObjectID</t>
        </is>
      </c>
      <c r="D760" s="6" t="inlineStr">
        <is>
          <t>FD1AD173-EF5D-4849-8A49-7C59056AB216</t>
        </is>
      </c>
      <c r="E760" s="6" t="inlineStr">
        <is>
          <t>FD1AD173-EF5D-4849-8A49-7C59056AB216</t>
        </is>
      </c>
      <c r="F760" s="12" t="inlineStr">
        <is>
          <t>PASS</t>
        </is>
      </c>
      <c r="H760" s="6" t="n"/>
    </row>
    <row r="761">
      <c r="A761" t="inlineStr">
        <is>
          <t>FUEL_PRODUCT_REGION</t>
        </is>
      </c>
      <c r="B761" t="inlineStr">
        <is>
          <t>Entity</t>
        </is>
      </c>
      <c r="C761" t="inlineStr">
        <is>
          <t>PD_SourceExtraction</t>
        </is>
      </c>
      <c r="D761" s="6" t="inlineStr">
        <is>
          <t>46603045</t>
        </is>
      </c>
      <c r="E761" s="6" t="inlineStr">
        <is>
          <t>46603045</t>
        </is>
      </c>
      <c r="F761" s="12" t="inlineStr">
        <is>
          <t>PASS</t>
        </is>
      </c>
      <c r="H761" s="6" t="n"/>
    </row>
    <row r="762">
      <c r="A762" t="inlineStr">
        <is>
          <t>FUEL_PRODUCT_REGION</t>
        </is>
      </c>
      <c r="B762" t="inlineStr">
        <is>
          <t>Entity</t>
        </is>
      </c>
      <c r="C762" t="inlineStr">
        <is>
          <t>PD_SourceModel</t>
        </is>
      </c>
      <c r="D762" s="6" t="inlineStr">
        <is>
          <t>05_Carbon_Calculator</t>
        </is>
      </c>
      <c r="E762" s="6" t="inlineStr">
        <is>
          <t>05_Carbon_Calculator</t>
        </is>
      </c>
      <c r="F762" s="12" t="inlineStr">
        <is>
          <t>PASS</t>
        </is>
      </c>
      <c r="H762" s="6" t="n"/>
    </row>
    <row r="763">
      <c r="A763" t="inlineStr">
        <is>
          <t>FUEL_PRODUCT_REGION</t>
        </is>
      </c>
      <c r="B763" t="inlineStr">
        <is>
          <t>Entity</t>
        </is>
      </c>
      <c r="C763" t="inlineStr">
        <is>
          <t>SensitivePersonalData</t>
        </is>
      </c>
      <c r="D763" s="6" t="inlineStr">
        <is>
          <t>No Sensitive Personal Data</t>
        </is>
      </c>
      <c r="E763" s="6" t="inlineStr">
        <is>
          <t>No Sensitive Personal Data</t>
        </is>
      </c>
      <c r="F763" s="12" t="inlineStr">
        <is>
          <t>PASS</t>
        </is>
      </c>
      <c r="G763" t="inlineStr">
        <is>
          <t>BIM-core.SensitivePersonalData</t>
        </is>
      </c>
      <c r="H763" s="6" t="n"/>
    </row>
    <row r="764">
      <c r="A764" t="inlineStr">
        <is>
          <t>FUEL_PRODUCT_REGION_CLIENT</t>
        </is>
      </c>
      <c r="B764" t="inlineStr">
        <is>
          <t>Entity</t>
        </is>
      </c>
      <c r="C764" t="inlineStr">
        <is>
          <t>CSI</t>
        </is>
      </c>
      <c r="D764" s="6" t="inlineStr">
        <is>
          <t>false</t>
        </is>
      </c>
      <c r="E764" s="6" t="inlineStr">
        <is>
          <t>false</t>
        </is>
      </c>
      <c r="F764" s="12" t="inlineStr">
        <is>
          <t>PASS</t>
        </is>
      </c>
      <c r="G764" t="inlineStr">
        <is>
          <t>SHL_LDM_EntityPropertyExtension.CSI</t>
        </is>
      </c>
      <c r="H764" s="6" t="n"/>
    </row>
    <row r="765">
      <c r="A765" t="inlineStr">
        <is>
          <t>FUEL_PRODUCT_REGION_CLIENT</t>
        </is>
      </c>
      <c r="B765" t="inlineStr">
        <is>
          <t>Entity</t>
        </is>
      </c>
      <c r="C765" t="inlineStr">
        <is>
          <t>CommerciallySensitiveInformation</t>
        </is>
      </c>
      <c r="D765" s="6" t="inlineStr">
        <is>
          <t>No Commercially Sensitive Information</t>
        </is>
      </c>
      <c r="E765" s="6" t="inlineStr">
        <is>
          <t>No Commercially Sensitive Information</t>
        </is>
      </c>
      <c r="F765" s="12" t="inlineStr">
        <is>
          <t>PASS</t>
        </is>
      </c>
      <c r="G765" t="inlineStr">
        <is>
          <t>BIM-core.CommerciallySensitiveInformation</t>
        </is>
      </c>
      <c r="H765" s="6" t="n"/>
    </row>
    <row r="766">
      <c r="A766" t="inlineStr">
        <is>
          <t>FUEL_PRODUCT_REGION_CLIENT</t>
        </is>
      </c>
      <c r="B766" t="inlineStr">
        <is>
          <t>Entity</t>
        </is>
      </c>
      <c r="C766" t="inlineStr">
        <is>
          <t>Criticality</t>
        </is>
      </c>
      <c r="D766" s="6" t="inlineStr">
        <is>
          <t>No Critical Data</t>
        </is>
      </c>
      <c r="E766" s="6" t="inlineStr">
        <is>
          <t>No Critical Data</t>
        </is>
      </c>
      <c r="F766" s="12" t="inlineStr">
        <is>
          <t>PASS</t>
        </is>
      </c>
      <c r="G766" t="inlineStr">
        <is>
          <t>BIM-core.Criticality</t>
        </is>
      </c>
      <c r="H766" s="6" t="n"/>
    </row>
    <row r="767">
      <c r="A767" t="inlineStr">
        <is>
          <t>FUEL_PRODUCT_REGION_CLIENT</t>
        </is>
      </c>
      <c r="B767" t="inlineStr">
        <is>
          <t>Entity</t>
        </is>
      </c>
      <c r="C767" t="inlineStr">
        <is>
          <t>DataCategory</t>
        </is>
      </c>
      <c r="D767" s="6" t="inlineStr">
        <is>
          <t>Structured</t>
        </is>
      </c>
      <c r="E767" s="6" t="inlineStr">
        <is>
          <t>Structured</t>
        </is>
      </c>
      <c r="F767" s="12" t="inlineStr">
        <is>
          <t>PASS</t>
        </is>
      </c>
      <c r="G767" t="inlineStr">
        <is>
          <t>BIM-core.DataCategory</t>
        </is>
      </c>
      <c r="H767" s="6" t="n"/>
    </row>
    <row r="768">
      <c r="A768" t="inlineStr">
        <is>
          <t>FUEL_PRODUCT_REGION_CLIENT</t>
        </is>
      </c>
      <c r="B768" t="inlineStr">
        <is>
          <t>Entity</t>
        </is>
      </c>
      <c r="C768" t="inlineStr">
        <is>
          <t>DataConfidentiality</t>
        </is>
      </c>
      <c r="D768" s="6" t="inlineStr">
        <is>
          <t>Internal</t>
        </is>
      </c>
      <c r="E768" s="6" t="inlineStr">
        <is>
          <t>Internal</t>
        </is>
      </c>
      <c r="F768" s="12" t="inlineStr">
        <is>
          <t>PASS</t>
        </is>
      </c>
      <c r="G768" t="inlineStr">
        <is>
          <t>BIM-core.DataConfidentiality</t>
        </is>
      </c>
      <c r="H768" s="6" t="n"/>
    </row>
    <row r="769">
      <c r="A769" t="inlineStr">
        <is>
          <t>FUEL_PRODUCT_REGION_CLIENT</t>
        </is>
      </c>
      <c r="B769" t="inlineStr">
        <is>
          <t>Entity</t>
        </is>
      </c>
      <c r="C769" t="inlineStr">
        <is>
          <t>DesignStatus</t>
        </is>
      </c>
      <c r="D769" s="6" t="inlineStr">
        <is>
          <t>Approved</t>
        </is>
      </c>
      <c r="E769" s="6" t="inlineStr">
        <is>
          <t>Approved</t>
        </is>
      </c>
      <c r="F769" s="12" t="inlineStr">
        <is>
          <t>PASS</t>
        </is>
      </c>
      <c r="G769" t="inlineStr">
        <is>
          <t>BIM-core.DesignStatus</t>
        </is>
      </c>
      <c r="H769" s="6" t="n"/>
    </row>
    <row r="770">
      <c r="A770" t="inlineStr">
        <is>
          <t>FUEL_PRODUCT_REGION_CLIENT</t>
        </is>
      </c>
      <c r="B770" t="inlineStr">
        <is>
          <t>Entity</t>
        </is>
      </c>
      <c r="C770" t="inlineStr">
        <is>
          <t>EntityCategory</t>
        </is>
      </c>
      <c r="D770" s="6" t="inlineStr">
        <is>
          <t>Intersection</t>
        </is>
      </c>
      <c r="E770" s="6" t="inlineStr">
        <is>
          <t>Intersection</t>
        </is>
      </c>
      <c r="F770" s="12" t="inlineStr">
        <is>
          <t>PASS</t>
        </is>
      </c>
      <c r="G770" t="inlineStr">
        <is>
          <t>BIM-core.EntityCategory</t>
        </is>
      </c>
      <c r="H770" s="6" t="n"/>
    </row>
    <row r="771">
      <c r="A771" t="inlineStr">
        <is>
          <t>FUEL_PRODUCT_REGION_CLIENT</t>
        </is>
      </c>
      <c r="B771" t="inlineStr">
        <is>
          <t>Entity</t>
        </is>
      </c>
      <c r="C771" t="inlineStr">
        <is>
          <t>EntityPersonalData</t>
        </is>
      </c>
      <c r="D771" s="6" t="inlineStr">
        <is>
          <t>No Personal Data</t>
        </is>
      </c>
      <c r="E771" s="6" t="inlineStr">
        <is>
          <t>No Personal Data</t>
        </is>
      </c>
      <c r="F771" s="12" t="inlineStr">
        <is>
          <t>PASS</t>
        </is>
      </c>
      <c r="G771" t="inlineStr">
        <is>
          <t>BIM-core.EntityPersonalData</t>
        </is>
      </c>
      <c r="H771" s="6" t="n"/>
    </row>
    <row r="772">
      <c r="A772" t="inlineStr">
        <is>
          <t>FUEL_PRODUCT_REGION_CLIENT</t>
        </is>
      </c>
      <c r="B772" t="inlineStr">
        <is>
          <t>Entity</t>
        </is>
      </c>
      <c r="C772" t="inlineStr">
        <is>
          <t>FinancialPersonalData</t>
        </is>
      </c>
      <c r="D772" s="6" t="inlineStr">
        <is>
          <t>No Financial Personal Data</t>
        </is>
      </c>
      <c r="E772" s="6" t="inlineStr">
        <is>
          <t>No Financial Personal Data</t>
        </is>
      </c>
      <c r="F772" s="12" t="inlineStr">
        <is>
          <t>PASS</t>
        </is>
      </c>
      <c r="G772" t="inlineStr">
        <is>
          <t>BIM-core.FinancialPersonalData</t>
        </is>
      </c>
      <c r="H772" s="6" t="n"/>
    </row>
    <row r="773">
      <c r="A773" t="inlineStr">
        <is>
          <t>FUEL_PRODUCT_REGION_CLIENT</t>
        </is>
      </c>
      <c r="B773" t="inlineStr">
        <is>
          <t>Entity</t>
        </is>
      </c>
      <c r="C773" t="inlineStr">
        <is>
          <t>MTED_EDaM_Design_Status</t>
        </is>
      </c>
      <c r="D773" s="6" t="inlineStr">
        <is>
          <t>Approved</t>
        </is>
      </c>
      <c r="E773" s="6" t="inlineStr">
        <is>
          <t>Approved</t>
        </is>
      </c>
      <c r="F773" s="12" t="inlineStr">
        <is>
          <t>PASS</t>
        </is>
      </c>
      <c r="G773" t="inlineStr">
        <is>
          <t>SHL_LDM_EntityPropertyExtension.MTED_EDaM_Design_Status</t>
        </is>
      </c>
      <c r="H773" s="6" t="n"/>
    </row>
    <row r="774">
      <c r="A774" t="inlineStr">
        <is>
          <t>FUEL_PRODUCT_REGION_CLIENT</t>
        </is>
      </c>
      <c r="B774" t="inlineStr">
        <is>
          <t>Entity</t>
        </is>
      </c>
      <c r="C774" t="inlineStr">
        <is>
          <t>MTED_EDaM_Entity_Critical_Data</t>
        </is>
      </c>
      <c r="D774" s="6" t="inlineStr">
        <is>
          <t>L</t>
        </is>
      </c>
      <c r="E774" s="6" t="inlineStr">
        <is>
          <t>L</t>
        </is>
      </c>
      <c r="F774" s="12" t="inlineStr">
        <is>
          <t>PASS</t>
        </is>
      </c>
      <c r="G774" t="inlineStr">
        <is>
          <t>SHL_LDM_EntityPropertyExtension.MTED_EDaM_Entity_Critical_Data</t>
        </is>
      </c>
      <c r="H774" s="6" t="n"/>
    </row>
    <row r="775">
      <c r="A775" t="inlineStr">
        <is>
          <t>FUEL_PRODUCT_REGION_CLIENT</t>
        </is>
      </c>
      <c r="B775" t="inlineStr">
        <is>
          <t>Entity</t>
        </is>
      </c>
      <c r="C775" t="inlineStr">
        <is>
          <t>MTED_EDaM_Entity_Data_Category</t>
        </is>
      </c>
      <c r="D775" s="6" t="inlineStr">
        <is>
          <t>Master</t>
        </is>
      </c>
      <c r="E775" s="6" t="inlineStr">
        <is>
          <t>Master</t>
        </is>
      </c>
      <c r="F775" s="12" t="inlineStr">
        <is>
          <t>PASS</t>
        </is>
      </c>
      <c r="G775" t="inlineStr">
        <is>
          <t>SHL_LDM_EntityPropertyExtension.MTED_EDaM_Entity_Data_Category</t>
        </is>
      </c>
      <c r="H775" s="6" t="n"/>
    </row>
    <row r="776">
      <c r="A776" t="inlineStr">
        <is>
          <t>FUEL_PRODUCT_REGION_CLIENT</t>
        </is>
      </c>
      <c r="B776" t="inlineStr">
        <is>
          <t>Entity</t>
        </is>
      </c>
      <c r="C776" t="inlineStr">
        <is>
          <t>MTED_EDaM_Mapping_Note</t>
        </is>
      </c>
      <c r="D776" s="6" t="inlineStr">
        <is>
          <t>{\rtf1\ansi\ansicpg1252\deff0\nouicompat\deflang2057{\fonttbl{\f0\fnil\fcharset0 Times New Roman;}}</t>
        </is>
      </c>
      <c r="E776" s="6" t="inlineStr">
        <is>
          <t>{\rtf1\ansi\ansicpg1252\deff0\nouicompat\deflang2057{\fonttbl{\f0\fnil\fcharset0 Times New Roman;}}</t>
        </is>
      </c>
      <c r="F776" s="12" t="inlineStr">
        <is>
          <t>PASS</t>
        </is>
      </c>
      <c r="G776" t="inlineStr">
        <is>
          <t>BIM-core.MTED_EDaM_Mapping_Note</t>
        </is>
      </c>
      <c r="H776" s="6" t="n"/>
    </row>
    <row r="777">
      <c r="A777" t="inlineStr">
        <is>
          <t>FUEL_PRODUCT_REGION_CLIENT</t>
        </is>
      </c>
      <c r="B777" t="inlineStr">
        <is>
          <t>Entity</t>
        </is>
      </c>
      <c r="C777" t="inlineStr">
        <is>
          <t>MTED_EDaM_Security_Classification</t>
        </is>
      </c>
      <c r="D777" s="6" t="inlineStr">
        <is>
          <t>Restricted</t>
        </is>
      </c>
      <c r="E777" s="6" t="inlineStr">
        <is>
          <t>Restricted</t>
        </is>
      </c>
      <c r="F777" s="12" t="inlineStr">
        <is>
          <t>PASS</t>
        </is>
      </c>
      <c r="G777" t="inlineStr">
        <is>
          <t>SHL_LDM_EntityPropertyExtension.MTED_EDaM_Security_Classification</t>
        </is>
      </c>
      <c r="H777" s="6" t="n"/>
    </row>
    <row r="778">
      <c r="A778" t="inlineStr">
        <is>
          <t>FUEL_PRODUCT_REGION_CLIENT</t>
        </is>
      </c>
      <c r="B778" t="inlineStr">
        <is>
          <t>Entity</t>
        </is>
      </c>
      <c r="C778" t="inlineStr">
        <is>
          <t>MTED_Encryption_Required</t>
        </is>
      </c>
      <c r="D778" s="6" t="inlineStr">
        <is>
          <t>false</t>
        </is>
      </c>
      <c r="E778" s="6" t="inlineStr">
        <is>
          <t>false</t>
        </is>
      </c>
      <c r="F778" s="12" t="inlineStr">
        <is>
          <t>PASS</t>
        </is>
      </c>
      <c r="G778" t="inlineStr">
        <is>
          <t>SHL_LDM_EntityPropertyExtension.MTED_Encryption_Required</t>
        </is>
      </c>
      <c r="H778" s="6" t="n"/>
    </row>
    <row r="779">
      <c r="A779" t="inlineStr">
        <is>
          <t>FUEL_PRODUCT_REGION_CLIENT</t>
        </is>
      </c>
      <c r="B779" t="inlineStr">
        <is>
          <t>Entity</t>
        </is>
      </c>
      <c r="C779" t="inlineStr">
        <is>
          <t>MappingLevel</t>
        </is>
      </c>
      <c r="D779" s="6" t="inlineStr">
        <is>
          <t>Application Specific</t>
        </is>
      </c>
      <c r="E779" s="6" t="inlineStr">
        <is>
          <t>Application Specific</t>
        </is>
      </c>
      <c r="F779" s="12" t="inlineStr">
        <is>
          <t>PASS</t>
        </is>
      </c>
      <c r="G779" t="inlineStr">
        <is>
          <t>BIM-core.MappingLevel</t>
        </is>
      </c>
      <c r="H779" s="6" t="n"/>
    </row>
    <row r="780">
      <c r="A780" t="inlineStr">
        <is>
          <t>FUEL_PRODUCT_REGION_CLIENT</t>
        </is>
      </c>
      <c r="B780" t="inlineStr">
        <is>
          <t>Entity</t>
        </is>
      </c>
      <c r="C780" t="inlineStr">
        <is>
          <t>PD_ObjectID</t>
        </is>
      </c>
      <c r="D780" s="6" t="inlineStr">
        <is>
          <t>76158E06-D17C-4C9F-BB37-F8E01F08B33B</t>
        </is>
      </c>
      <c r="E780" s="6" t="inlineStr">
        <is>
          <t>76158E06-D17C-4C9F-BB37-F8E01F08B33B</t>
        </is>
      </c>
      <c r="F780" s="12" t="inlineStr">
        <is>
          <t>PASS</t>
        </is>
      </c>
      <c r="H780" s="6" t="n"/>
    </row>
    <row r="781">
      <c r="A781" t="inlineStr">
        <is>
          <t>FUEL_PRODUCT_REGION_CLIENT</t>
        </is>
      </c>
      <c r="B781" t="inlineStr">
        <is>
          <t>Entity</t>
        </is>
      </c>
      <c r="C781" t="inlineStr">
        <is>
          <t>PD_SourceExtraction</t>
        </is>
      </c>
      <c r="D781" s="6" t="inlineStr">
        <is>
          <t>46603045</t>
        </is>
      </c>
      <c r="E781" s="6" t="inlineStr">
        <is>
          <t>46603045</t>
        </is>
      </c>
      <c r="F781" s="12" t="inlineStr">
        <is>
          <t>PASS</t>
        </is>
      </c>
      <c r="H781" s="6" t="n"/>
    </row>
    <row r="782">
      <c r="A782" t="inlineStr">
        <is>
          <t>FUEL_PRODUCT_REGION_CLIENT</t>
        </is>
      </c>
      <c r="B782" t="inlineStr">
        <is>
          <t>Entity</t>
        </is>
      </c>
      <c r="C782" t="inlineStr">
        <is>
          <t>PD_SourceModel</t>
        </is>
      </c>
      <c r="D782" s="6" t="inlineStr">
        <is>
          <t>05_Carbon_Calculator</t>
        </is>
      </c>
      <c r="E782" s="6" t="inlineStr">
        <is>
          <t>05_Carbon_Calculator</t>
        </is>
      </c>
      <c r="F782" s="12" t="inlineStr">
        <is>
          <t>PASS</t>
        </is>
      </c>
      <c r="H782" s="6" t="n"/>
    </row>
    <row r="783">
      <c r="A783" t="inlineStr">
        <is>
          <t>FUEL_PRODUCT_REGION_CLIENT</t>
        </is>
      </c>
      <c r="B783" t="inlineStr">
        <is>
          <t>Entity</t>
        </is>
      </c>
      <c r="C783" t="inlineStr">
        <is>
          <t>SensitivePersonalData</t>
        </is>
      </c>
      <c r="D783" s="6" t="inlineStr">
        <is>
          <t>No Sensitive Personal Data</t>
        </is>
      </c>
      <c r="E783" s="6" t="inlineStr">
        <is>
          <t>No Sensitive Personal Data</t>
        </is>
      </c>
      <c r="F783" s="12" t="inlineStr">
        <is>
          <t>PASS</t>
        </is>
      </c>
      <c r="G783" t="inlineStr">
        <is>
          <t>BIM-core.SensitivePersonalData</t>
        </is>
      </c>
      <c r="H783" s="6" t="n"/>
    </row>
    <row r="784">
      <c r="A784" t="inlineStr">
        <is>
          <t>FUEL_PRODUCT_REGION_COMMENT</t>
        </is>
      </c>
      <c r="B784" t="inlineStr">
        <is>
          <t>Entity</t>
        </is>
      </c>
      <c r="C784" t="inlineStr">
        <is>
          <t>CSI</t>
        </is>
      </c>
      <c r="D784" s="6" t="inlineStr">
        <is>
          <t>false</t>
        </is>
      </c>
      <c r="E784" s="6" t="inlineStr">
        <is>
          <t>false</t>
        </is>
      </c>
      <c r="F784" s="12" t="inlineStr">
        <is>
          <t>PASS</t>
        </is>
      </c>
      <c r="G784" t="inlineStr">
        <is>
          <t>SHL_LDM_EntityPropertyExtension.CSI</t>
        </is>
      </c>
      <c r="H784" s="6" t="n"/>
    </row>
    <row r="785">
      <c r="A785" t="inlineStr">
        <is>
          <t>FUEL_PRODUCT_REGION_COMMENT</t>
        </is>
      </c>
      <c r="B785" t="inlineStr">
        <is>
          <t>Entity</t>
        </is>
      </c>
      <c r="C785" t="inlineStr">
        <is>
          <t>CommerciallySensitiveInformation</t>
        </is>
      </c>
      <c r="D785" s="6" t="inlineStr">
        <is>
          <t>No Commercially Sensitive Information</t>
        </is>
      </c>
      <c r="E785" s="6" t="inlineStr">
        <is>
          <t>No Commercially Sensitive Information</t>
        </is>
      </c>
      <c r="F785" s="12" t="inlineStr">
        <is>
          <t>PASS</t>
        </is>
      </c>
      <c r="G785" t="inlineStr">
        <is>
          <t>BIM-core.CommerciallySensitiveInformation</t>
        </is>
      </c>
      <c r="H785" s="6" t="n"/>
    </row>
    <row r="786">
      <c r="A786" t="inlineStr">
        <is>
          <t>FUEL_PRODUCT_REGION_COMMENT</t>
        </is>
      </c>
      <c r="B786" t="inlineStr">
        <is>
          <t>Entity</t>
        </is>
      </c>
      <c r="C786" t="inlineStr">
        <is>
          <t>Criticality</t>
        </is>
      </c>
      <c r="D786" s="6" t="inlineStr">
        <is>
          <t>No Critical Data</t>
        </is>
      </c>
      <c r="E786" s="6" t="inlineStr">
        <is>
          <t>No Critical Data</t>
        </is>
      </c>
      <c r="F786" s="12" t="inlineStr">
        <is>
          <t>PASS</t>
        </is>
      </c>
      <c r="G786" t="inlineStr">
        <is>
          <t>BIM-core.Criticality</t>
        </is>
      </c>
      <c r="H786" s="6" t="n"/>
    </row>
    <row r="787">
      <c r="A787" t="inlineStr">
        <is>
          <t>FUEL_PRODUCT_REGION_COMMENT</t>
        </is>
      </c>
      <c r="B787" t="inlineStr">
        <is>
          <t>Entity</t>
        </is>
      </c>
      <c r="C787" t="inlineStr">
        <is>
          <t>DataCategory</t>
        </is>
      </c>
      <c r="D787" s="6" t="inlineStr">
        <is>
          <t>Structured</t>
        </is>
      </c>
      <c r="E787" s="6" t="inlineStr">
        <is>
          <t>Structured</t>
        </is>
      </c>
      <c r="F787" s="12" t="inlineStr">
        <is>
          <t>PASS</t>
        </is>
      </c>
      <c r="G787" t="inlineStr">
        <is>
          <t>BIM-core.DataCategory</t>
        </is>
      </c>
      <c r="H787" s="6" t="n"/>
    </row>
    <row r="788">
      <c r="A788" t="inlineStr">
        <is>
          <t>FUEL_PRODUCT_REGION_COMMENT</t>
        </is>
      </c>
      <c r="B788" t="inlineStr">
        <is>
          <t>Entity</t>
        </is>
      </c>
      <c r="C788" t="inlineStr">
        <is>
          <t>DataConfidentiality</t>
        </is>
      </c>
      <c r="D788" s="6" t="inlineStr">
        <is>
          <t>Internal</t>
        </is>
      </c>
      <c r="E788" s="6" t="inlineStr">
        <is>
          <t>Internal</t>
        </is>
      </c>
      <c r="F788" s="12" t="inlineStr">
        <is>
          <t>PASS</t>
        </is>
      </c>
      <c r="G788" t="inlineStr">
        <is>
          <t>BIM-core.DataConfidentiality</t>
        </is>
      </c>
      <c r="H788" s="6" t="n"/>
    </row>
    <row r="789">
      <c r="A789" t="inlineStr">
        <is>
          <t>FUEL_PRODUCT_REGION_COMMENT</t>
        </is>
      </c>
      <c r="B789" t="inlineStr">
        <is>
          <t>Entity</t>
        </is>
      </c>
      <c r="C789" t="inlineStr">
        <is>
          <t>DesignStatus</t>
        </is>
      </c>
      <c r="D789" s="6" t="inlineStr">
        <is>
          <t>Approved</t>
        </is>
      </c>
      <c r="E789" s="6" t="inlineStr">
        <is>
          <t>Approved</t>
        </is>
      </c>
      <c r="F789" s="12" t="inlineStr">
        <is>
          <t>PASS</t>
        </is>
      </c>
      <c r="G789" t="inlineStr">
        <is>
          <t>BIM-core.DesignStatus</t>
        </is>
      </c>
      <c r="H789" s="6" t="n"/>
    </row>
    <row r="790">
      <c r="A790" t="inlineStr">
        <is>
          <t>FUEL_PRODUCT_REGION_COMMENT</t>
        </is>
      </c>
      <c r="B790" t="inlineStr">
        <is>
          <t>Entity</t>
        </is>
      </c>
      <c r="C790" t="inlineStr">
        <is>
          <t>EntityCategory</t>
        </is>
      </c>
      <c r="D790" s="6" t="inlineStr">
        <is>
          <t>Master</t>
        </is>
      </c>
      <c r="E790" s="6" t="inlineStr">
        <is>
          <t>Master</t>
        </is>
      </c>
      <c r="F790" s="12" t="inlineStr">
        <is>
          <t>PASS</t>
        </is>
      </c>
      <c r="G790" t="inlineStr">
        <is>
          <t>BIM-core.EntityCategory</t>
        </is>
      </c>
      <c r="H790" s="6" t="n"/>
    </row>
    <row r="791">
      <c r="A791" t="inlineStr">
        <is>
          <t>FUEL_PRODUCT_REGION_COMMENT</t>
        </is>
      </c>
      <c r="B791" t="inlineStr">
        <is>
          <t>Entity</t>
        </is>
      </c>
      <c r="C791" t="inlineStr">
        <is>
          <t>EntityPersonalData</t>
        </is>
      </c>
      <c r="D791" s="6" t="inlineStr">
        <is>
          <t>No Personal Data</t>
        </is>
      </c>
      <c r="E791" s="6" t="inlineStr">
        <is>
          <t>No Personal Data</t>
        </is>
      </c>
      <c r="F791" s="12" t="inlineStr">
        <is>
          <t>PASS</t>
        </is>
      </c>
      <c r="G791" t="inlineStr">
        <is>
          <t>BIM-core.EntityPersonalData</t>
        </is>
      </c>
      <c r="H791" s="6" t="n"/>
    </row>
    <row r="792">
      <c r="A792" t="inlineStr">
        <is>
          <t>FUEL_PRODUCT_REGION_COMMENT</t>
        </is>
      </c>
      <c r="B792" t="inlineStr">
        <is>
          <t>Entity</t>
        </is>
      </c>
      <c r="C792" t="inlineStr">
        <is>
          <t>FinancialPersonalData</t>
        </is>
      </c>
      <c r="D792" s="6" t="inlineStr">
        <is>
          <t>No Financial Personal Data</t>
        </is>
      </c>
      <c r="E792" s="6" t="inlineStr">
        <is>
          <t>No Financial Personal Data</t>
        </is>
      </c>
      <c r="F792" s="12" t="inlineStr">
        <is>
          <t>PASS</t>
        </is>
      </c>
      <c r="G792" t="inlineStr">
        <is>
          <t>BIM-core.FinancialPersonalData</t>
        </is>
      </c>
      <c r="H792" s="6" t="n"/>
    </row>
    <row r="793">
      <c r="A793" t="inlineStr">
        <is>
          <t>FUEL_PRODUCT_REGION_COMMENT</t>
        </is>
      </c>
      <c r="B793" t="inlineStr">
        <is>
          <t>Entity</t>
        </is>
      </c>
      <c r="C793" t="inlineStr">
        <is>
          <t>MTED_Encryption_Required</t>
        </is>
      </c>
      <c r="D793" s="6" t="inlineStr">
        <is>
          <t>false</t>
        </is>
      </c>
      <c r="E793" s="6" t="inlineStr">
        <is>
          <t>false</t>
        </is>
      </c>
      <c r="F793" s="12" t="inlineStr">
        <is>
          <t>PASS</t>
        </is>
      </c>
      <c r="G793" t="inlineStr">
        <is>
          <t>SHL_LDM_EntityPropertyExtension.MTED_Encryption_Required</t>
        </is>
      </c>
      <c r="H793" s="6" t="n"/>
    </row>
    <row r="794">
      <c r="A794" t="inlineStr">
        <is>
          <t>FUEL_PRODUCT_REGION_COMMENT</t>
        </is>
      </c>
      <c r="B794" t="inlineStr">
        <is>
          <t>Entity</t>
        </is>
      </c>
      <c r="C794" t="inlineStr">
        <is>
          <t>MappingLevel</t>
        </is>
      </c>
      <c r="D794" s="6" t="inlineStr">
        <is>
          <t>BLM</t>
        </is>
      </c>
      <c r="E794" s="6" t="inlineStr">
        <is>
          <t>BLM</t>
        </is>
      </c>
      <c r="F794" s="12" t="inlineStr">
        <is>
          <t>PASS</t>
        </is>
      </c>
      <c r="G794" t="inlineStr">
        <is>
          <t>BIM-core.MappingLevel</t>
        </is>
      </c>
      <c r="H794" s="6" t="n"/>
    </row>
    <row r="795">
      <c r="A795" t="inlineStr">
        <is>
          <t>FUEL_PRODUCT_REGION_COMMENT</t>
        </is>
      </c>
      <c r="B795" t="inlineStr">
        <is>
          <t>Entity</t>
        </is>
      </c>
      <c r="C795" t="inlineStr">
        <is>
          <t>MapsToEntity</t>
        </is>
      </c>
      <c r="D795" s="6" t="inlineStr">
        <is>
          <t>Fuel_Market_Product_Comment</t>
        </is>
      </c>
      <c r="E795" s="6" t="inlineStr">
        <is>
          <t>Fuel_Market_Product_Comment</t>
        </is>
      </c>
      <c r="F795" s="12" t="inlineStr">
        <is>
          <t>PASS</t>
        </is>
      </c>
      <c r="G795" t="inlineStr">
        <is>
          <t>BIM-core.MapsToEntity</t>
        </is>
      </c>
      <c r="H795" s="6" t="n"/>
    </row>
    <row r="796">
      <c r="A796" t="inlineStr">
        <is>
          <t>FUEL_PRODUCT_REGION_COMMENT</t>
        </is>
      </c>
      <c r="B796" t="inlineStr">
        <is>
          <t>Entity</t>
        </is>
      </c>
      <c r="C796" t="inlineStr">
        <is>
          <t>PD_ObjectID</t>
        </is>
      </c>
      <c r="D796" s="6" t="inlineStr">
        <is>
          <t>85A2F0CB-0C17-4C08-83C2-6C2DB90C93A9</t>
        </is>
      </c>
      <c r="E796" s="6" t="inlineStr">
        <is>
          <t>85A2F0CB-0C17-4C08-83C2-6C2DB90C93A9</t>
        </is>
      </c>
      <c r="F796" s="12" t="inlineStr">
        <is>
          <t>PASS</t>
        </is>
      </c>
      <c r="H796" s="6" t="n"/>
    </row>
    <row r="797">
      <c r="A797" t="inlineStr">
        <is>
          <t>FUEL_PRODUCT_REGION_COMMENT</t>
        </is>
      </c>
      <c r="B797" t="inlineStr">
        <is>
          <t>Entity</t>
        </is>
      </c>
      <c r="C797" t="inlineStr">
        <is>
          <t>PD_SourceExtraction</t>
        </is>
      </c>
      <c r="D797" s="6" t="inlineStr">
        <is>
          <t>46603045</t>
        </is>
      </c>
      <c r="E797" s="6" t="inlineStr">
        <is>
          <t>46603045</t>
        </is>
      </c>
      <c r="F797" s="12" t="inlineStr">
        <is>
          <t>PASS</t>
        </is>
      </c>
      <c r="H797" s="6" t="n"/>
    </row>
    <row r="798">
      <c r="A798" t="inlineStr">
        <is>
          <t>FUEL_PRODUCT_REGION_COMMENT</t>
        </is>
      </c>
      <c r="B798" t="inlineStr">
        <is>
          <t>Entity</t>
        </is>
      </c>
      <c r="C798" t="inlineStr">
        <is>
          <t>PD_SourceModel</t>
        </is>
      </c>
      <c r="D798" s="6" t="inlineStr">
        <is>
          <t>05_Carbon_Calculator</t>
        </is>
      </c>
      <c r="E798" s="6" t="inlineStr">
        <is>
          <t>05_Carbon_Calculator</t>
        </is>
      </c>
      <c r="F798" s="12" t="inlineStr">
        <is>
          <t>PASS</t>
        </is>
      </c>
      <c r="H798" s="6" t="n"/>
    </row>
    <row r="799">
      <c r="A799" t="inlineStr">
        <is>
          <t>FUEL_PRODUCT_REGION_COMMENT</t>
        </is>
      </c>
      <c r="B799" t="inlineStr">
        <is>
          <t>Entity</t>
        </is>
      </c>
      <c r="C799" t="inlineStr">
        <is>
          <t>SensitivePersonalData</t>
        </is>
      </c>
      <c r="D799" s="6" t="inlineStr">
        <is>
          <t>No Sensitive Personal Data</t>
        </is>
      </c>
      <c r="E799" s="6" t="inlineStr">
        <is>
          <t>No Sensitive Personal Data</t>
        </is>
      </c>
      <c r="F799" s="12" t="inlineStr">
        <is>
          <t>PASS</t>
        </is>
      </c>
      <c r="G799" t="inlineStr">
        <is>
          <t>BIM-core.SensitivePersonalData</t>
        </is>
      </c>
      <c r="H799" s="6" t="n"/>
    </row>
    <row r="800">
      <c r="A800" t="inlineStr">
        <is>
          <t>GHG</t>
        </is>
      </c>
      <c r="B800" t="inlineStr">
        <is>
          <t>Entity</t>
        </is>
      </c>
      <c r="C800" t="inlineStr">
        <is>
          <t>CSI</t>
        </is>
      </c>
      <c r="D800" s="6" t="inlineStr">
        <is>
          <t>false</t>
        </is>
      </c>
      <c r="E800" s="6" t="inlineStr">
        <is>
          <t>false</t>
        </is>
      </c>
      <c r="F800" s="12" t="inlineStr">
        <is>
          <t>PASS</t>
        </is>
      </c>
      <c r="G800" t="inlineStr">
        <is>
          <t>SHL_LDM_EntityPropertyExtension.CSI</t>
        </is>
      </c>
      <c r="H800" s="6" t="n"/>
    </row>
    <row r="801">
      <c r="A801" t="inlineStr">
        <is>
          <t>GHG</t>
        </is>
      </c>
      <c r="B801" t="inlineStr">
        <is>
          <t>Entity</t>
        </is>
      </c>
      <c r="C801" t="inlineStr">
        <is>
          <t>CommerciallySensitiveInformation</t>
        </is>
      </c>
      <c r="D801" s="6" t="inlineStr">
        <is>
          <t>No Commercially Sensitive Information</t>
        </is>
      </c>
      <c r="E801" s="6" t="inlineStr">
        <is>
          <t>No Commercially Sensitive Information</t>
        </is>
      </c>
      <c r="F801" s="12" t="inlineStr">
        <is>
          <t>PASS</t>
        </is>
      </c>
      <c r="G801" t="inlineStr">
        <is>
          <t>BIM-core.CommerciallySensitiveInformation</t>
        </is>
      </c>
      <c r="H801" s="6" t="n"/>
    </row>
    <row r="802">
      <c r="A802" t="inlineStr">
        <is>
          <t>GHG</t>
        </is>
      </c>
      <c r="B802" t="inlineStr">
        <is>
          <t>Entity</t>
        </is>
      </c>
      <c r="C802" t="inlineStr">
        <is>
          <t>Criticality</t>
        </is>
      </c>
      <c r="D802" s="6" t="inlineStr">
        <is>
          <t>No Critical Data</t>
        </is>
      </c>
      <c r="E802" s="6" t="inlineStr">
        <is>
          <t>No Critical Data</t>
        </is>
      </c>
      <c r="F802" s="12" t="inlineStr">
        <is>
          <t>PASS</t>
        </is>
      </c>
      <c r="G802" t="inlineStr">
        <is>
          <t>BIM-core.Criticality</t>
        </is>
      </c>
      <c r="H802" s="6" t="n"/>
    </row>
    <row r="803">
      <c r="A803" t="inlineStr">
        <is>
          <t>GHG</t>
        </is>
      </c>
      <c r="B803" t="inlineStr">
        <is>
          <t>Entity</t>
        </is>
      </c>
      <c r="C803" t="inlineStr">
        <is>
          <t>DataArea</t>
        </is>
      </c>
      <c r="D803" s="6" t="inlineStr">
        <is>
          <t>Emission</t>
        </is>
      </c>
      <c r="E803" s="6" t="inlineStr">
        <is>
          <t>Emission</t>
        </is>
      </c>
      <c r="F803" s="12" t="inlineStr">
        <is>
          <t>PASS</t>
        </is>
      </c>
      <c r="G803" t="inlineStr">
        <is>
          <t>BIM-core.DataArea</t>
        </is>
      </c>
      <c r="H803" s="6" t="n"/>
    </row>
    <row r="804">
      <c r="A804" t="inlineStr">
        <is>
          <t>GHG</t>
        </is>
      </c>
      <c r="B804" t="inlineStr">
        <is>
          <t>Entity</t>
        </is>
      </c>
      <c r="C804" t="inlineStr">
        <is>
          <t>DataCategory</t>
        </is>
      </c>
      <c r="D804" s="6" t="inlineStr">
        <is>
          <t>Structured</t>
        </is>
      </c>
      <c r="E804" s="6" t="inlineStr">
        <is>
          <t>Structured</t>
        </is>
      </c>
      <c r="F804" s="12" t="inlineStr">
        <is>
          <t>PASS</t>
        </is>
      </c>
      <c r="G804" t="inlineStr">
        <is>
          <t>BIM-core.DataCategory</t>
        </is>
      </c>
      <c r="H804" s="6" t="n"/>
    </row>
    <row r="805">
      <c r="A805" t="inlineStr">
        <is>
          <t>GHG</t>
        </is>
      </c>
      <c r="B805" t="inlineStr">
        <is>
          <t>Entity</t>
        </is>
      </c>
      <c r="C805" t="inlineStr">
        <is>
          <t>DataConfidentiality</t>
        </is>
      </c>
      <c r="D805" s="6" t="inlineStr">
        <is>
          <t>Internal</t>
        </is>
      </c>
      <c r="E805" s="6" t="inlineStr">
        <is>
          <t>Internal</t>
        </is>
      </c>
      <c r="F805" s="12" t="inlineStr">
        <is>
          <t>PASS</t>
        </is>
      </c>
      <c r="G805" t="inlineStr">
        <is>
          <t>BIM-core.DataConfidentiality</t>
        </is>
      </c>
      <c r="H805" s="6" t="n"/>
    </row>
    <row r="806">
      <c r="A806" t="inlineStr">
        <is>
          <t>GHG</t>
        </is>
      </c>
      <c r="B806" t="inlineStr">
        <is>
          <t>Entity</t>
        </is>
      </c>
      <c r="C806" t="inlineStr">
        <is>
          <t>DesignStatus</t>
        </is>
      </c>
      <c r="D806" s="6" t="inlineStr">
        <is>
          <t>Approved</t>
        </is>
      </c>
      <c r="E806" s="6" t="inlineStr">
        <is>
          <t>Approved</t>
        </is>
      </c>
      <c r="F806" s="12" t="inlineStr">
        <is>
          <t>PASS</t>
        </is>
      </c>
      <c r="G806" t="inlineStr">
        <is>
          <t>BIM-core.DesignStatus</t>
        </is>
      </c>
      <c r="H806" s="6" t="n"/>
    </row>
    <row r="807">
      <c r="A807" t="inlineStr">
        <is>
          <t>GHG</t>
        </is>
      </c>
      <c r="B807" t="inlineStr">
        <is>
          <t>Entity</t>
        </is>
      </c>
      <c r="C807" t="inlineStr">
        <is>
          <t>EntityCategory</t>
        </is>
      </c>
      <c r="D807" s="6" t="inlineStr">
        <is>
          <t>External Reference</t>
        </is>
      </c>
      <c r="E807" s="6" t="inlineStr">
        <is>
          <t>External Reference</t>
        </is>
      </c>
      <c r="F807" s="12" t="inlineStr">
        <is>
          <t>PASS</t>
        </is>
      </c>
      <c r="G807" t="inlineStr">
        <is>
          <t>BIM-core.EntityCategory</t>
        </is>
      </c>
      <c r="H807" s="6" t="n"/>
    </row>
    <row r="808">
      <c r="A808" t="inlineStr">
        <is>
          <t>GHG</t>
        </is>
      </c>
      <c r="B808" t="inlineStr">
        <is>
          <t>Entity</t>
        </is>
      </c>
      <c r="C808" t="inlineStr">
        <is>
          <t>EntityPersonalData</t>
        </is>
      </c>
      <c r="D808" s="6" t="inlineStr">
        <is>
          <t>No Personal Data</t>
        </is>
      </c>
      <c r="E808" s="6" t="inlineStr">
        <is>
          <t>No Personal Data</t>
        </is>
      </c>
      <c r="F808" s="12" t="inlineStr">
        <is>
          <t>PASS</t>
        </is>
      </c>
      <c r="G808" t="inlineStr">
        <is>
          <t>BIM-core.EntityPersonalData</t>
        </is>
      </c>
      <c r="H808" s="6" t="n"/>
    </row>
    <row r="809">
      <c r="A809" t="inlineStr">
        <is>
          <t>GHG</t>
        </is>
      </c>
      <c r="B809" t="inlineStr">
        <is>
          <t>Entity</t>
        </is>
      </c>
      <c r="C809" t="inlineStr">
        <is>
          <t>FinancialPersonalData</t>
        </is>
      </c>
      <c r="D809" s="6" t="inlineStr">
        <is>
          <t>No Financial Personal Data</t>
        </is>
      </c>
      <c r="E809" s="6" t="inlineStr">
        <is>
          <t>No Financial Personal Data</t>
        </is>
      </c>
      <c r="F809" s="12" t="inlineStr">
        <is>
          <t>PASS</t>
        </is>
      </c>
      <c r="G809" t="inlineStr">
        <is>
          <t>BIM-core.FinancialPersonalData</t>
        </is>
      </c>
      <c r="H809" s="6" t="n"/>
    </row>
    <row r="810">
      <c r="A810" t="inlineStr">
        <is>
          <t>GHG</t>
        </is>
      </c>
      <c r="B810" t="inlineStr">
        <is>
          <t>Entity</t>
        </is>
      </c>
      <c r="C810" t="inlineStr">
        <is>
          <t>MTED_Encryption_Required</t>
        </is>
      </c>
      <c r="D810" s="6" t="inlineStr">
        <is>
          <t>false</t>
        </is>
      </c>
      <c r="E810" s="6" t="inlineStr">
        <is>
          <t>false</t>
        </is>
      </c>
      <c r="F810" s="12" t="inlineStr">
        <is>
          <t>PASS</t>
        </is>
      </c>
      <c r="G810" t="inlineStr">
        <is>
          <t>SHL_LDM_EntityPropertyExtension.MTED_Encryption_Required</t>
        </is>
      </c>
      <c r="H810" s="6" t="n"/>
    </row>
    <row r="811">
      <c r="A811" t="inlineStr">
        <is>
          <t>GHG</t>
        </is>
      </c>
      <c r="B811" t="inlineStr">
        <is>
          <t>Entity</t>
        </is>
      </c>
      <c r="C811" t="inlineStr">
        <is>
          <t>MappingLevel</t>
        </is>
      </c>
      <c r="D811" s="6" t="inlineStr">
        <is>
          <t>BLM</t>
        </is>
      </c>
      <c r="E811" s="6" t="inlineStr">
        <is>
          <t>BLM</t>
        </is>
      </c>
      <c r="F811" s="12" t="inlineStr">
        <is>
          <t>PASS</t>
        </is>
      </c>
      <c r="G811" t="inlineStr">
        <is>
          <t>BIM-core.MappingLevel</t>
        </is>
      </c>
      <c r="H811" s="6" t="n"/>
    </row>
    <row r="812">
      <c r="A812" t="inlineStr">
        <is>
          <t>GHG</t>
        </is>
      </c>
      <c r="B812" t="inlineStr">
        <is>
          <t>Entity</t>
        </is>
      </c>
      <c r="C812" t="inlineStr">
        <is>
          <t>MapsToEntity</t>
        </is>
      </c>
      <c r="D812" s="6" t="inlineStr">
        <is>
          <t>GREENHOUSE_GAS</t>
        </is>
      </c>
      <c r="E812" s="6" t="inlineStr">
        <is>
          <t>GREENHOUSE_GAS</t>
        </is>
      </c>
      <c r="F812" s="12" t="inlineStr">
        <is>
          <t>PASS</t>
        </is>
      </c>
      <c r="G812" t="inlineStr">
        <is>
          <t>BIM-core.MapsToEntity</t>
        </is>
      </c>
      <c r="H812" s="6" t="n"/>
    </row>
    <row r="813">
      <c r="A813" t="inlineStr">
        <is>
          <t>GHG</t>
        </is>
      </c>
      <c r="B813" t="inlineStr">
        <is>
          <t>Entity</t>
        </is>
      </c>
      <c r="C813" t="inlineStr">
        <is>
          <t>PD_ObjectID</t>
        </is>
      </c>
      <c r="D813" s="6" t="inlineStr">
        <is>
          <t>94EEA88E-AEBC-4028-837A-39087F565580</t>
        </is>
      </c>
      <c r="E813" s="6" t="inlineStr">
        <is>
          <t>94EEA88E-AEBC-4028-837A-39087F565580</t>
        </is>
      </c>
      <c r="F813" s="12" t="inlineStr">
        <is>
          <t>PASS</t>
        </is>
      </c>
      <c r="H813" s="6" t="n"/>
    </row>
    <row r="814">
      <c r="A814" t="inlineStr">
        <is>
          <t>GHG</t>
        </is>
      </c>
      <c r="B814" t="inlineStr">
        <is>
          <t>Entity</t>
        </is>
      </c>
      <c r="C814" t="inlineStr">
        <is>
          <t>PD_SourceExtraction</t>
        </is>
      </c>
      <c r="D814" s="6" t="inlineStr">
        <is>
          <t>46603045</t>
        </is>
      </c>
      <c r="E814" s="6" t="inlineStr">
        <is>
          <t>46603045</t>
        </is>
      </c>
      <c r="F814" s="12" t="inlineStr">
        <is>
          <t>PASS</t>
        </is>
      </c>
      <c r="H814" s="6" t="n"/>
    </row>
    <row r="815">
      <c r="A815" t="inlineStr">
        <is>
          <t>GHG</t>
        </is>
      </c>
      <c r="B815" t="inlineStr">
        <is>
          <t>Entity</t>
        </is>
      </c>
      <c r="C815" t="inlineStr">
        <is>
          <t>PD_SourceModel</t>
        </is>
      </c>
      <c r="D815" s="6" t="inlineStr">
        <is>
          <t>05_Carbon_Calculator</t>
        </is>
      </c>
      <c r="E815" s="6" t="inlineStr">
        <is>
          <t>05_Carbon_Calculator</t>
        </is>
      </c>
      <c r="F815" s="12" t="inlineStr">
        <is>
          <t>PASS</t>
        </is>
      </c>
      <c r="H815" s="6" t="n"/>
    </row>
    <row r="816">
      <c r="A816" t="inlineStr">
        <is>
          <t>GHG</t>
        </is>
      </c>
      <c r="B816" t="inlineStr">
        <is>
          <t>Entity</t>
        </is>
      </c>
      <c r="C816" t="inlineStr">
        <is>
          <t>SensitivePersonalData</t>
        </is>
      </c>
      <c r="D816" s="6" t="inlineStr">
        <is>
          <t>No Sensitive Personal Data</t>
        </is>
      </c>
      <c r="E816" s="6" t="inlineStr">
        <is>
          <t>No Sensitive Personal Data</t>
        </is>
      </c>
      <c r="F816" s="12" t="inlineStr">
        <is>
          <t>PASS</t>
        </is>
      </c>
      <c r="G816" t="inlineStr">
        <is>
          <t>BIM-core.SensitivePersonalData</t>
        </is>
      </c>
      <c r="H816" s="6" t="n"/>
    </row>
    <row r="817">
      <c r="A817" t="inlineStr">
        <is>
          <t>GLOSSARY</t>
        </is>
      </c>
      <c r="B817" t="inlineStr">
        <is>
          <t>Entity</t>
        </is>
      </c>
      <c r="C817" t="inlineStr">
        <is>
          <t>CommerciallySensitiveInformation</t>
        </is>
      </c>
      <c r="D817" s="6" t="inlineStr">
        <is>
          <t>No Commercially Sensitive Information</t>
        </is>
      </c>
      <c r="E817" s="6" t="inlineStr">
        <is>
          <t>No Commercially Sensitive Information</t>
        </is>
      </c>
      <c r="F817" s="12" t="inlineStr">
        <is>
          <t>PASS</t>
        </is>
      </c>
      <c r="G817" t="inlineStr">
        <is>
          <t>BIM-core.CommerciallySensitiveInformation</t>
        </is>
      </c>
      <c r="H817" s="6" t="n"/>
    </row>
    <row r="818">
      <c r="A818" t="inlineStr">
        <is>
          <t>GLOSSARY</t>
        </is>
      </c>
      <c r="B818" t="inlineStr">
        <is>
          <t>Entity</t>
        </is>
      </c>
      <c r="C818" t="inlineStr">
        <is>
          <t>Criticality</t>
        </is>
      </c>
      <c r="D818" s="6" t="inlineStr">
        <is>
          <t>No Critical Data</t>
        </is>
      </c>
      <c r="E818" s="6" t="inlineStr">
        <is>
          <t>No Critical Data</t>
        </is>
      </c>
      <c r="F818" s="12" t="inlineStr">
        <is>
          <t>PASS</t>
        </is>
      </c>
      <c r="G818" t="inlineStr">
        <is>
          <t>BIM-core.Criticality</t>
        </is>
      </c>
      <c r="H818" s="6" t="n"/>
    </row>
    <row r="819">
      <c r="A819" t="inlineStr">
        <is>
          <t>GLOSSARY</t>
        </is>
      </c>
      <c r="B819" t="inlineStr">
        <is>
          <t>Entity</t>
        </is>
      </c>
      <c r="C819" t="inlineStr">
        <is>
          <t>DataCategory</t>
        </is>
      </c>
      <c r="D819" s="6" t="inlineStr">
        <is>
          <t>Structured</t>
        </is>
      </c>
      <c r="E819" s="6" t="inlineStr">
        <is>
          <t>Structured</t>
        </is>
      </c>
      <c r="F819" s="12" t="inlineStr">
        <is>
          <t>PASS</t>
        </is>
      </c>
      <c r="G819" t="inlineStr">
        <is>
          <t>BIM-core.DataCategory</t>
        </is>
      </c>
      <c r="H819" s="6" t="n"/>
    </row>
    <row r="820">
      <c r="A820" t="inlineStr">
        <is>
          <t>GLOSSARY</t>
        </is>
      </c>
      <c r="B820" t="inlineStr">
        <is>
          <t>Entity</t>
        </is>
      </c>
      <c r="C820" t="inlineStr">
        <is>
          <t>DataConfidentiality</t>
        </is>
      </c>
      <c r="D820" s="6" t="inlineStr">
        <is>
          <t>Internal</t>
        </is>
      </c>
      <c r="E820" s="6" t="inlineStr">
        <is>
          <t>Internal</t>
        </is>
      </c>
      <c r="F820" s="12" t="inlineStr">
        <is>
          <t>PASS</t>
        </is>
      </c>
      <c r="G820" t="inlineStr">
        <is>
          <t>BIM-core.DataConfidentiality</t>
        </is>
      </c>
      <c r="H820" s="6" t="n"/>
    </row>
    <row r="821">
      <c r="A821" t="inlineStr">
        <is>
          <t>GLOSSARY</t>
        </is>
      </c>
      <c r="B821" t="inlineStr">
        <is>
          <t>Entity</t>
        </is>
      </c>
      <c r="C821" t="inlineStr">
        <is>
          <t>DesignStatus</t>
        </is>
      </c>
      <c r="D821" s="6" t="inlineStr">
        <is>
          <t>Approved</t>
        </is>
      </c>
      <c r="E821" s="6" t="inlineStr">
        <is>
          <t>Approved</t>
        </is>
      </c>
      <c r="F821" s="12" t="inlineStr">
        <is>
          <t>PASS</t>
        </is>
      </c>
      <c r="G821" t="inlineStr">
        <is>
          <t>BIM-core.DesignStatus</t>
        </is>
      </c>
      <c r="H821" s="6" t="n"/>
    </row>
    <row r="822">
      <c r="A822" t="inlineStr">
        <is>
          <t>GLOSSARY</t>
        </is>
      </c>
      <c r="B822" t="inlineStr">
        <is>
          <t>Entity</t>
        </is>
      </c>
      <c r="C822" t="inlineStr">
        <is>
          <t>EntityCategory</t>
        </is>
      </c>
      <c r="D822" s="6" t="inlineStr">
        <is>
          <t>Master</t>
        </is>
      </c>
      <c r="E822" s="6" t="inlineStr">
        <is>
          <t>Master</t>
        </is>
      </c>
      <c r="F822" s="12" t="inlineStr">
        <is>
          <t>PASS</t>
        </is>
      </c>
      <c r="G822" t="inlineStr">
        <is>
          <t>BIM-core.EntityCategory</t>
        </is>
      </c>
      <c r="H822" s="6" t="n"/>
    </row>
    <row r="823">
      <c r="A823" t="inlineStr">
        <is>
          <t>GLOSSARY</t>
        </is>
      </c>
      <c r="B823" t="inlineStr">
        <is>
          <t>Entity</t>
        </is>
      </c>
      <c r="C823" t="inlineStr">
        <is>
          <t>EntityPersonalData</t>
        </is>
      </c>
      <c r="D823" s="6" t="inlineStr">
        <is>
          <t>No Personal Data</t>
        </is>
      </c>
      <c r="E823" s="6" t="inlineStr">
        <is>
          <t>No Personal Data</t>
        </is>
      </c>
      <c r="F823" s="12" t="inlineStr">
        <is>
          <t>PASS</t>
        </is>
      </c>
      <c r="G823" t="inlineStr">
        <is>
          <t>BIM-core.EntityPersonalData</t>
        </is>
      </c>
      <c r="H823" s="6" t="n"/>
    </row>
    <row r="824">
      <c r="A824" t="inlineStr">
        <is>
          <t>GLOSSARY</t>
        </is>
      </c>
      <c r="B824" t="inlineStr">
        <is>
          <t>Entity</t>
        </is>
      </c>
      <c r="C824" t="inlineStr">
        <is>
          <t>FinancialPersonalData</t>
        </is>
      </c>
      <c r="D824" s="6" t="inlineStr">
        <is>
          <t>No Financial Personal Data</t>
        </is>
      </c>
      <c r="E824" s="6" t="inlineStr">
        <is>
          <t>No Financial Personal Data</t>
        </is>
      </c>
      <c r="F824" s="12" t="inlineStr">
        <is>
          <t>PASS</t>
        </is>
      </c>
      <c r="G824" t="inlineStr">
        <is>
          <t>BIM-core.FinancialPersonalData</t>
        </is>
      </c>
      <c r="H824" s="6" t="n"/>
    </row>
    <row r="825">
      <c r="A825" t="inlineStr">
        <is>
          <t>GLOSSARY</t>
        </is>
      </c>
      <c r="B825" t="inlineStr">
        <is>
          <t>Entity</t>
        </is>
      </c>
      <c r="C825" t="inlineStr">
        <is>
          <t>MTED_EDaM_Mapping_Note</t>
        </is>
      </c>
      <c r="D825" s="6" t="inlineStr">
        <is>
          <t>{\rtf1\ansi\ansicpg1252\deff0\nouicompat\deflang2057{\fonttbl{\f0\fnil\fcharset0 Times New Roman;}}</t>
        </is>
      </c>
      <c r="E825" s="6" t="inlineStr">
        <is>
          <t>{\rtf1\ansi\ansicpg1252\deff0\nouicompat\deflang2057{\fonttbl{\f0\fnil\fcharset0 Times New Roman;}}</t>
        </is>
      </c>
      <c r="F825" s="12" t="inlineStr">
        <is>
          <t>PASS</t>
        </is>
      </c>
      <c r="G825" t="inlineStr">
        <is>
          <t>BIM-core.MTED_EDaM_Mapping_Note</t>
        </is>
      </c>
      <c r="H825" s="6" t="n"/>
    </row>
    <row r="826">
      <c r="A826" t="inlineStr">
        <is>
          <t>GLOSSARY</t>
        </is>
      </c>
      <c r="B826" t="inlineStr">
        <is>
          <t>Entity</t>
        </is>
      </c>
      <c r="C826" t="inlineStr">
        <is>
          <t>MappingLevel</t>
        </is>
      </c>
      <c r="D826" s="6" t="inlineStr">
        <is>
          <t>Application Specific</t>
        </is>
      </c>
      <c r="E826" s="6" t="inlineStr">
        <is>
          <t>Application Specific</t>
        </is>
      </c>
      <c r="F826" s="12" t="inlineStr">
        <is>
          <t>PASS</t>
        </is>
      </c>
      <c r="G826" t="inlineStr">
        <is>
          <t>BIM-core.MappingLevel</t>
        </is>
      </c>
      <c r="H826" s="6" t="n"/>
    </row>
    <row r="827">
      <c r="A827" t="inlineStr">
        <is>
          <t>GLOSSARY</t>
        </is>
      </c>
      <c r="B827" t="inlineStr">
        <is>
          <t>Entity</t>
        </is>
      </c>
      <c r="C827" t="inlineStr">
        <is>
          <t>PD_ObjectID</t>
        </is>
      </c>
      <c r="D827" s="6" t="inlineStr">
        <is>
          <t>A83BF9A8-EF45-40DE-8126-BACAFCAA9606</t>
        </is>
      </c>
      <c r="E827" s="6" t="inlineStr">
        <is>
          <t>A83BF9A8-EF45-40DE-8126-BACAFCAA9606</t>
        </is>
      </c>
      <c r="F827" s="12" t="inlineStr">
        <is>
          <t>PASS</t>
        </is>
      </c>
      <c r="H827" s="6" t="n"/>
    </row>
    <row r="828">
      <c r="A828" t="inlineStr">
        <is>
          <t>GLOSSARY</t>
        </is>
      </c>
      <c r="B828" t="inlineStr">
        <is>
          <t>Entity</t>
        </is>
      </c>
      <c r="C828" t="inlineStr">
        <is>
          <t>PD_SourceExtraction</t>
        </is>
      </c>
      <c r="D828" s="6" t="inlineStr">
        <is>
          <t>46603045</t>
        </is>
      </c>
      <c r="E828" s="6" t="inlineStr">
        <is>
          <t>46603045</t>
        </is>
      </c>
      <c r="F828" s="12" t="inlineStr">
        <is>
          <t>PASS</t>
        </is>
      </c>
      <c r="H828" s="6" t="n"/>
    </row>
    <row r="829">
      <c r="A829" t="inlineStr">
        <is>
          <t>GLOSSARY</t>
        </is>
      </c>
      <c r="B829" t="inlineStr">
        <is>
          <t>Entity</t>
        </is>
      </c>
      <c r="C829" t="inlineStr">
        <is>
          <t>PD_SourceModel</t>
        </is>
      </c>
      <c r="D829" s="6" t="inlineStr">
        <is>
          <t>05_Carbon_Calculator</t>
        </is>
      </c>
      <c r="E829" s="6" t="inlineStr">
        <is>
          <t>05_Carbon_Calculator</t>
        </is>
      </c>
      <c r="F829" s="12" t="inlineStr">
        <is>
          <t>PASS</t>
        </is>
      </c>
      <c r="H829" s="6" t="n"/>
    </row>
    <row r="830">
      <c r="A830" t="inlineStr">
        <is>
          <t>GLOSSARY</t>
        </is>
      </c>
      <c r="B830" t="inlineStr">
        <is>
          <t>Entity</t>
        </is>
      </c>
      <c r="C830" t="inlineStr">
        <is>
          <t>SensitivePersonalData</t>
        </is>
      </c>
      <c r="D830" s="6" t="inlineStr">
        <is>
          <t>No Sensitive Personal Data</t>
        </is>
      </c>
      <c r="E830" s="6" t="inlineStr">
        <is>
          <t>No Sensitive Personal Data</t>
        </is>
      </c>
      <c r="F830" s="12" t="inlineStr">
        <is>
          <t>PASS</t>
        </is>
      </c>
      <c r="G830" t="inlineStr">
        <is>
          <t>BIM-core.SensitivePersonalData</t>
        </is>
      </c>
      <c r="H830" s="6" t="n"/>
    </row>
    <row r="831">
      <c r="A831" t="inlineStr">
        <is>
          <t>INTENDED_USE</t>
        </is>
      </c>
      <c r="B831" t="inlineStr">
        <is>
          <t>Entity</t>
        </is>
      </c>
      <c r="C831" t="inlineStr">
        <is>
          <t>CommerciallySensitiveInformation</t>
        </is>
      </c>
      <c r="D831" s="6" t="inlineStr">
        <is>
          <t>No Commercially Sensitive Information</t>
        </is>
      </c>
      <c r="E831" s="6" t="inlineStr">
        <is>
          <t>No Commercially Sensitive Information</t>
        </is>
      </c>
      <c r="F831" s="12" t="inlineStr">
        <is>
          <t>PASS</t>
        </is>
      </c>
      <c r="G831" t="inlineStr">
        <is>
          <t>BIM-core.CommerciallySensitiveInformation</t>
        </is>
      </c>
      <c r="H831" s="6" t="n"/>
    </row>
    <row r="832">
      <c r="A832" t="inlineStr">
        <is>
          <t>INTENDED_USE</t>
        </is>
      </c>
      <c r="B832" t="inlineStr">
        <is>
          <t>Entity</t>
        </is>
      </c>
      <c r="C832" t="inlineStr">
        <is>
          <t>Criticality</t>
        </is>
      </c>
      <c r="D832" s="6" t="inlineStr">
        <is>
          <t>No Critical Data</t>
        </is>
      </c>
      <c r="E832" s="6" t="inlineStr">
        <is>
          <t>No Critical Data</t>
        </is>
      </c>
      <c r="F832" s="12" t="inlineStr">
        <is>
          <t>PASS</t>
        </is>
      </c>
      <c r="G832" t="inlineStr">
        <is>
          <t>BIM-core.Criticality</t>
        </is>
      </c>
      <c r="H832" s="6" t="n"/>
    </row>
    <row r="833">
      <c r="A833" t="inlineStr">
        <is>
          <t>INTENDED_USE</t>
        </is>
      </c>
      <c r="B833" t="inlineStr">
        <is>
          <t>Entity</t>
        </is>
      </c>
      <c r="C833" t="inlineStr">
        <is>
          <t>DataCategory</t>
        </is>
      </c>
      <c r="D833" s="6" t="inlineStr">
        <is>
          <t>Structured</t>
        </is>
      </c>
      <c r="E833" s="6" t="inlineStr">
        <is>
          <t>Structured</t>
        </is>
      </c>
      <c r="F833" s="12" t="inlineStr">
        <is>
          <t>PASS</t>
        </is>
      </c>
      <c r="G833" t="inlineStr">
        <is>
          <t>BIM-core.DataCategory</t>
        </is>
      </c>
      <c r="H833" s="6" t="n"/>
    </row>
    <row r="834">
      <c r="A834" t="inlineStr">
        <is>
          <t>INTENDED_USE</t>
        </is>
      </c>
      <c r="B834" t="inlineStr">
        <is>
          <t>Entity</t>
        </is>
      </c>
      <c r="C834" t="inlineStr">
        <is>
          <t>DataConfidentiality</t>
        </is>
      </c>
      <c r="D834" s="6" t="inlineStr">
        <is>
          <t>Internal</t>
        </is>
      </c>
      <c r="E834" s="6" t="inlineStr">
        <is>
          <t>Internal</t>
        </is>
      </c>
      <c r="F834" s="12" t="inlineStr">
        <is>
          <t>PASS</t>
        </is>
      </c>
      <c r="G834" t="inlineStr">
        <is>
          <t>BIM-core.DataConfidentiality</t>
        </is>
      </c>
      <c r="H834" s="6" t="n"/>
    </row>
    <row r="835">
      <c r="A835" t="inlineStr">
        <is>
          <t>INTENDED_USE</t>
        </is>
      </c>
      <c r="B835" t="inlineStr">
        <is>
          <t>Entity</t>
        </is>
      </c>
      <c r="C835" t="inlineStr">
        <is>
          <t>DesignStatus</t>
        </is>
      </c>
      <c r="D835" s="6" t="inlineStr">
        <is>
          <t>Approved</t>
        </is>
      </c>
      <c r="E835" s="6" t="inlineStr">
        <is>
          <t>Approved</t>
        </is>
      </c>
      <c r="F835" s="12" t="inlineStr">
        <is>
          <t>PASS</t>
        </is>
      </c>
      <c r="G835" t="inlineStr">
        <is>
          <t>BIM-core.DesignStatus</t>
        </is>
      </c>
      <c r="H835" s="6" t="n"/>
    </row>
    <row r="836">
      <c r="A836" t="inlineStr">
        <is>
          <t>INTENDED_USE</t>
        </is>
      </c>
      <c r="B836" t="inlineStr">
        <is>
          <t>Entity</t>
        </is>
      </c>
      <c r="C836" t="inlineStr">
        <is>
          <t>EntityCategory</t>
        </is>
      </c>
      <c r="D836" s="6" t="inlineStr">
        <is>
          <t>Master</t>
        </is>
      </c>
      <c r="E836" s="6" t="inlineStr">
        <is>
          <t>Master</t>
        </is>
      </c>
      <c r="F836" s="12" t="inlineStr">
        <is>
          <t>PASS</t>
        </is>
      </c>
      <c r="G836" t="inlineStr">
        <is>
          <t>BIM-core.EntityCategory</t>
        </is>
      </c>
      <c r="H836" s="6" t="n"/>
    </row>
    <row r="837">
      <c r="A837" t="inlineStr">
        <is>
          <t>INTENDED_USE</t>
        </is>
      </c>
      <c r="B837" t="inlineStr">
        <is>
          <t>Entity</t>
        </is>
      </c>
      <c r="C837" t="inlineStr">
        <is>
          <t>EntityPersonalData</t>
        </is>
      </c>
      <c r="D837" s="6" t="inlineStr">
        <is>
          <t>No Personal Data</t>
        </is>
      </c>
      <c r="E837" s="6" t="inlineStr">
        <is>
          <t>No Personal Data</t>
        </is>
      </c>
      <c r="F837" s="12" t="inlineStr">
        <is>
          <t>PASS</t>
        </is>
      </c>
      <c r="G837" t="inlineStr">
        <is>
          <t>BIM-core.EntityPersonalData</t>
        </is>
      </c>
      <c r="H837" s="6" t="n"/>
    </row>
    <row r="838">
      <c r="A838" t="inlineStr">
        <is>
          <t>INTENDED_USE</t>
        </is>
      </c>
      <c r="B838" t="inlineStr">
        <is>
          <t>Entity</t>
        </is>
      </c>
      <c r="C838" t="inlineStr">
        <is>
          <t>FinancialPersonalData</t>
        </is>
      </c>
      <c r="D838" s="6" t="inlineStr">
        <is>
          <t>No Financial Personal Data</t>
        </is>
      </c>
      <c r="E838" s="6" t="inlineStr">
        <is>
          <t>No Financial Personal Data</t>
        </is>
      </c>
      <c r="F838" s="12" t="inlineStr">
        <is>
          <t>PASS</t>
        </is>
      </c>
      <c r="G838" t="inlineStr">
        <is>
          <t>BIM-core.FinancialPersonalData</t>
        </is>
      </c>
      <c r="H838" s="6" t="n"/>
    </row>
    <row r="839">
      <c r="A839" t="inlineStr">
        <is>
          <t>INTENDED_USE</t>
        </is>
      </c>
      <c r="B839" t="inlineStr">
        <is>
          <t>Entity</t>
        </is>
      </c>
      <c r="C839" t="inlineStr">
        <is>
          <t>MTED_EDaM_Mapping_Note</t>
        </is>
      </c>
      <c r="D839" s="6" t="inlineStr">
        <is>
          <t>{\rtf1\ansi\ansicpg1252\deff0\nouicompat\deflang2057{\fonttbl{\f0\fnil\fcharset0 Times New Roman;}}</t>
        </is>
      </c>
      <c r="E839" s="6" t="inlineStr">
        <is>
          <t>{\rtf1\ansi\ansicpg1252\deff0\nouicompat\deflang2057{\fonttbl{\f0\fnil\fcharset0 Times New Roman;}}</t>
        </is>
      </c>
      <c r="F839" s="12" t="inlineStr">
        <is>
          <t>PASS</t>
        </is>
      </c>
      <c r="G839" t="inlineStr">
        <is>
          <t>BIM-core.MTED_EDaM_Mapping_Note</t>
        </is>
      </c>
      <c r="H839" s="6" t="n"/>
    </row>
    <row r="840">
      <c r="A840" t="inlineStr">
        <is>
          <t>INTENDED_USE</t>
        </is>
      </c>
      <c r="B840" t="inlineStr">
        <is>
          <t>Entity</t>
        </is>
      </c>
      <c r="C840" t="inlineStr">
        <is>
          <t>MappingLevel</t>
        </is>
      </c>
      <c r="D840" s="6" t="inlineStr">
        <is>
          <t>Application Specific</t>
        </is>
      </c>
      <c r="E840" s="6" t="inlineStr">
        <is>
          <t>Application Specific</t>
        </is>
      </c>
      <c r="F840" s="12" t="inlineStr">
        <is>
          <t>PASS</t>
        </is>
      </c>
      <c r="G840" t="inlineStr">
        <is>
          <t>BIM-core.MappingLevel</t>
        </is>
      </c>
      <c r="H840" s="6" t="n"/>
    </row>
    <row r="841">
      <c r="A841" t="inlineStr">
        <is>
          <t>INTENDED_USE</t>
        </is>
      </c>
      <c r="B841" t="inlineStr">
        <is>
          <t>Entity</t>
        </is>
      </c>
      <c r="C841" t="inlineStr">
        <is>
          <t>PD_ObjectID</t>
        </is>
      </c>
      <c r="D841" s="6" t="inlineStr">
        <is>
          <t>18C9D8A8-09C7-4637-AB87-606B7B0DB8E9</t>
        </is>
      </c>
      <c r="E841" s="6" t="inlineStr">
        <is>
          <t>18C9D8A8-09C7-4637-AB87-606B7B0DB8E9</t>
        </is>
      </c>
      <c r="F841" s="12" t="inlineStr">
        <is>
          <t>PASS</t>
        </is>
      </c>
      <c r="H841" s="6" t="n"/>
    </row>
    <row r="842">
      <c r="A842" t="inlineStr">
        <is>
          <t>INTENDED_USE</t>
        </is>
      </c>
      <c r="B842" t="inlineStr">
        <is>
          <t>Entity</t>
        </is>
      </c>
      <c r="C842" t="inlineStr">
        <is>
          <t>PD_SourceExtraction</t>
        </is>
      </c>
      <c r="D842" s="6" t="inlineStr">
        <is>
          <t>46603045</t>
        </is>
      </c>
      <c r="E842" s="6" t="inlineStr">
        <is>
          <t>46603045</t>
        </is>
      </c>
      <c r="F842" s="12" t="inlineStr">
        <is>
          <t>PASS</t>
        </is>
      </c>
      <c r="H842" s="6" t="n"/>
    </row>
    <row r="843">
      <c r="A843" t="inlineStr">
        <is>
          <t>INTENDED_USE</t>
        </is>
      </c>
      <c r="B843" t="inlineStr">
        <is>
          <t>Entity</t>
        </is>
      </c>
      <c r="C843" t="inlineStr">
        <is>
          <t>PD_SourceModel</t>
        </is>
      </c>
      <c r="D843" s="6" t="inlineStr">
        <is>
          <t>05_Carbon_Calculator</t>
        </is>
      </c>
      <c r="E843" s="6" t="inlineStr">
        <is>
          <t>05_Carbon_Calculator</t>
        </is>
      </c>
      <c r="F843" s="12" t="inlineStr">
        <is>
          <t>PASS</t>
        </is>
      </c>
      <c r="H843" s="6" t="n"/>
    </row>
    <row r="844">
      <c r="A844" t="inlineStr">
        <is>
          <t>INTENDED_USE</t>
        </is>
      </c>
      <c r="B844" t="inlineStr">
        <is>
          <t>Entity</t>
        </is>
      </c>
      <c r="C844" t="inlineStr">
        <is>
          <t>SensitivePersonalData</t>
        </is>
      </c>
      <c r="D844" s="6" t="inlineStr">
        <is>
          <t>No Sensitive Personal Data</t>
        </is>
      </c>
      <c r="E844" s="6" t="inlineStr">
        <is>
          <t>No Sensitive Personal Data</t>
        </is>
      </c>
      <c r="F844" s="12" t="inlineStr">
        <is>
          <t>PASS</t>
        </is>
      </c>
      <c r="G844" t="inlineStr">
        <is>
          <t>BIM-core.SensitivePersonalData</t>
        </is>
      </c>
      <c r="H844" s="6" t="n"/>
    </row>
    <row r="845">
      <c r="A845" t="inlineStr">
        <is>
          <t>INTENDED_USE_CATEGORY</t>
        </is>
      </c>
      <c r="B845" t="inlineStr">
        <is>
          <t>Entity</t>
        </is>
      </c>
      <c r="C845" t="inlineStr">
        <is>
          <t>CommerciallySensitiveInformation</t>
        </is>
      </c>
      <c r="D845" s="6" t="inlineStr">
        <is>
          <t>No Commercially Sensitive Information</t>
        </is>
      </c>
      <c r="E845" s="6" t="inlineStr">
        <is>
          <t>No Commercially Sensitive Information</t>
        </is>
      </c>
      <c r="F845" s="12" t="inlineStr">
        <is>
          <t>PASS</t>
        </is>
      </c>
      <c r="G845" t="inlineStr">
        <is>
          <t>BIM-core.CommerciallySensitiveInformation</t>
        </is>
      </c>
      <c r="H845" s="6" t="n"/>
    </row>
    <row r="846">
      <c r="A846" t="inlineStr">
        <is>
          <t>INTENDED_USE_CATEGORY</t>
        </is>
      </c>
      <c r="B846" t="inlineStr">
        <is>
          <t>Entity</t>
        </is>
      </c>
      <c r="C846" t="inlineStr">
        <is>
          <t>Criticality</t>
        </is>
      </c>
      <c r="D846" s="6" t="inlineStr">
        <is>
          <t>No Critical Data</t>
        </is>
      </c>
      <c r="E846" s="6" t="inlineStr">
        <is>
          <t>No Critical Data</t>
        </is>
      </c>
      <c r="F846" s="12" t="inlineStr">
        <is>
          <t>PASS</t>
        </is>
      </c>
      <c r="G846" t="inlineStr">
        <is>
          <t>BIM-core.Criticality</t>
        </is>
      </c>
      <c r="H846" s="6" t="n"/>
    </row>
    <row r="847">
      <c r="A847" t="inlineStr">
        <is>
          <t>INTENDED_USE_CATEGORY</t>
        </is>
      </c>
      <c r="B847" t="inlineStr">
        <is>
          <t>Entity</t>
        </is>
      </c>
      <c r="C847" t="inlineStr">
        <is>
          <t>DataCategory</t>
        </is>
      </c>
      <c r="D847" s="6" t="inlineStr">
        <is>
          <t>Structured</t>
        </is>
      </c>
      <c r="E847" s="6" t="inlineStr">
        <is>
          <t>Structured</t>
        </is>
      </c>
      <c r="F847" s="12" t="inlineStr">
        <is>
          <t>PASS</t>
        </is>
      </c>
      <c r="G847" t="inlineStr">
        <is>
          <t>BIM-core.DataCategory</t>
        </is>
      </c>
      <c r="H847" s="6" t="n"/>
    </row>
    <row r="848">
      <c r="A848" t="inlineStr">
        <is>
          <t>INTENDED_USE_CATEGORY</t>
        </is>
      </c>
      <c r="B848" t="inlineStr">
        <is>
          <t>Entity</t>
        </is>
      </c>
      <c r="C848" t="inlineStr">
        <is>
          <t>DataConfidentiality</t>
        </is>
      </c>
      <c r="D848" s="6" t="inlineStr">
        <is>
          <t>Internal</t>
        </is>
      </c>
      <c r="E848" s="6" t="inlineStr">
        <is>
          <t>Internal</t>
        </is>
      </c>
      <c r="F848" s="12" t="inlineStr">
        <is>
          <t>PASS</t>
        </is>
      </c>
      <c r="G848" t="inlineStr">
        <is>
          <t>BIM-core.DataConfidentiality</t>
        </is>
      </c>
      <c r="H848" s="6" t="n"/>
    </row>
    <row r="849">
      <c r="A849" t="inlineStr">
        <is>
          <t>INTENDED_USE_CATEGORY</t>
        </is>
      </c>
      <c r="B849" t="inlineStr">
        <is>
          <t>Entity</t>
        </is>
      </c>
      <c r="C849" t="inlineStr">
        <is>
          <t>DesignStatus</t>
        </is>
      </c>
      <c r="D849" s="6" t="inlineStr">
        <is>
          <t>Approved</t>
        </is>
      </c>
      <c r="E849" s="6" t="inlineStr">
        <is>
          <t>Approved</t>
        </is>
      </c>
      <c r="F849" s="12" t="inlineStr">
        <is>
          <t>PASS</t>
        </is>
      </c>
      <c r="G849" t="inlineStr">
        <is>
          <t>BIM-core.DesignStatus</t>
        </is>
      </c>
      <c r="H849" s="6" t="n"/>
    </row>
    <row r="850">
      <c r="A850" t="inlineStr">
        <is>
          <t>INTENDED_USE_CATEGORY</t>
        </is>
      </c>
      <c r="B850" t="inlineStr">
        <is>
          <t>Entity</t>
        </is>
      </c>
      <c r="C850" t="inlineStr">
        <is>
          <t>EntityCategory</t>
        </is>
      </c>
      <c r="D850" s="6" t="inlineStr">
        <is>
          <t>Master</t>
        </is>
      </c>
      <c r="E850" s="6" t="inlineStr">
        <is>
          <t>Master</t>
        </is>
      </c>
      <c r="F850" s="12" t="inlineStr">
        <is>
          <t>PASS</t>
        </is>
      </c>
      <c r="G850" t="inlineStr">
        <is>
          <t>BIM-core.EntityCategory</t>
        </is>
      </c>
      <c r="H850" s="6" t="n"/>
    </row>
    <row r="851">
      <c r="A851" t="inlineStr">
        <is>
          <t>INTENDED_USE_CATEGORY</t>
        </is>
      </c>
      <c r="B851" t="inlineStr">
        <is>
          <t>Entity</t>
        </is>
      </c>
      <c r="C851" t="inlineStr">
        <is>
          <t>EntityPersonalData</t>
        </is>
      </c>
      <c r="D851" s="6" t="inlineStr">
        <is>
          <t>No Personal Data</t>
        </is>
      </c>
      <c r="E851" s="6" t="inlineStr">
        <is>
          <t>No Personal Data</t>
        </is>
      </c>
      <c r="F851" s="12" t="inlineStr">
        <is>
          <t>PASS</t>
        </is>
      </c>
      <c r="G851" t="inlineStr">
        <is>
          <t>BIM-core.EntityPersonalData</t>
        </is>
      </c>
      <c r="H851" s="6" t="n"/>
    </row>
    <row r="852">
      <c r="A852" t="inlineStr">
        <is>
          <t>INTENDED_USE_CATEGORY</t>
        </is>
      </c>
      <c r="B852" t="inlineStr">
        <is>
          <t>Entity</t>
        </is>
      </c>
      <c r="C852" t="inlineStr">
        <is>
          <t>FinancialPersonalData</t>
        </is>
      </c>
      <c r="D852" s="6" t="inlineStr">
        <is>
          <t>No Financial Personal Data</t>
        </is>
      </c>
      <c r="E852" s="6" t="inlineStr">
        <is>
          <t>No Financial Personal Data</t>
        </is>
      </c>
      <c r="F852" s="12" t="inlineStr">
        <is>
          <t>PASS</t>
        </is>
      </c>
      <c r="G852" t="inlineStr">
        <is>
          <t>BIM-core.FinancialPersonalData</t>
        </is>
      </c>
      <c r="H852" s="6" t="n"/>
    </row>
    <row r="853">
      <c r="A853" t="inlineStr">
        <is>
          <t>INTENDED_USE_CATEGORY</t>
        </is>
      </c>
      <c r="B853" t="inlineStr">
        <is>
          <t>Entity</t>
        </is>
      </c>
      <c r="C853" t="inlineStr">
        <is>
          <t>MTED_EDaM_Mapping_Note</t>
        </is>
      </c>
      <c r="D853" s="6" t="inlineStr">
        <is>
          <t>{\rtf1\ansi\ansicpg1252\deff0\nouicompat\deflang2057{\fonttbl{\f0\fnil\fcharset0 Times New Roman;}}</t>
        </is>
      </c>
      <c r="E853" s="6" t="inlineStr">
        <is>
          <t>{\rtf1\ansi\ansicpg1252\deff0\nouicompat\deflang2057{\fonttbl{\f0\fnil\fcharset0 Times New Roman;}}</t>
        </is>
      </c>
      <c r="F853" s="12" t="inlineStr">
        <is>
          <t>PASS</t>
        </is>
      </c>
      <c r="G853" t="inlineStr">
        <is>
          <t>BIM-core.MTED_EDaM_Mapping_Note</t>
        </is>
      </c>
      <c r="H853" s="6" t="n"/>
    </row>
    <row r="854">
      <c r="A854" t="inlineStr">
        <is>
          <t>INTENDED_USE_CATEGORY</t>
        </is>
      </c>
      <c r="B854" t="inlineStr">
        <is>
          <t>Entity</t>
        </is>
      </c>
      <c r="C854" t="inlineStr">
        <is>
          <t>MappingLevel</t>
        </is>
      </c>
      <c r="D854" s="6" t="inlineStr">
        <is>
          <t>Application Specific</t>
        </is>
      </c>
      <c r="E854" s="6" t="inlineStr">
        <is>
          <t>Application Specific</t>
        </is>
      </c>
      <c r="F854" s="12" t="inlineStr">
        <is>
          <t>PASS</t>
        </is>
      </c>
      <c r="G854" t="inlineStr">
        <is>
          <t>BIM-core.MappingLevel</t>
        </is>
      </c>
      <c r="H854" s="6" t="n"/>
    </row>
    <row r="855">
      <c r="A855" t="inlineStr">
        <is>
          <t>INTENDED_USE_CATEGORY</t>
        </is>
      </c>
      <c r="B855" t="inlineStr">
        <is>
          <t>Entity</t>
        </is>
      </c>
      <c r="C855" t="inlineStr">
        <is>
          <t>PD_ObjectID</t>
        </is>
      </c>
      <c r="D855" s="6" t="inlineStr">
        <is>
          <t>91B2CFCD-ED1B-449B-8759-CF599D8EBF3A</t>
        </is>
      </c>
      <c r="E855" s="6" t="inlineStr">
        <is>
          <t>91B2CFCD-ED1B-449B-8759-CF599D8EBF3A</t>
        </is>
      </c>
      <c r="F855" s="12" t="inlineStr">
        <is>
          <t>PASS</t>
        </is>
      </c>
      <c r="H855" s="6" t="n"/>
    </row>
    <row r="856">
      <c r="A856" t="inlineStr">
        <is>
          <t>INTENDED_USE_CATEGORY</t>
        </is>
      </c>
      <c r="B856" t="inlineStr">
        <is>
          <t>Entity</t>
        </is>
      </c>
      <c r="C856" t="inlineStr">
        <is>
          <t>PD_SourceExtraction</t>
        </is>
      </c>
      <c r="D856" s="6" t="inlineStr">
        <is>
          <t>46603045</t>
        </is>
      </c>
      <c r="E856" s="6" t="inlineStr">
        <is>
          <t>46603045</t>
        </is>
      </c>
      <c r="F856" s="12" t="inlineStr">
        <is>
          <t>PASS</t>
        </is>
      </c>
      <c r="H856" s="6" t="n"/>
    </row>
    <row r="857">
      <c r="A857" t="inlineStr">
        <is>
          <t>INTENDED_USE_CATEGORY</t>
        </is>
      </c>
      <c r="B857" t="inlineStr">
        <is>
          <t>Entity</t>
        </is>
      </c>
      <c r="C857" t="inlineStr">
        <is>
          <t>PD_SourceModel</t>
        </is>
      </c>
      <c r="D857" s="6" t="inlineStr">
        <is>
          <t>05_Carbon_Calculator</t>
        </is>
      </c>
      <c r="E857" s="6" t="inlineStr">
        <is>
          <t>05_Carbon_Calculator</t>
        </is>
      </c>
      <c r="F857" s="12" t="inlineStr">
        <is>
          <t>PASS</t>
        </is>
      </c>
      <c r="H857" s="6" t="n"/>
    </row>
    <row r="858">
      <c r="A858" t="inlineStr">
        <is>
          <t>INTENDED_USE_CATEGORY</t>
        </is>
      </c>
      <c r="B858" t="inlineStr">
        <is>
          <t>Entity</t>
        </is>
      </c>
      <c r="C858" t="inlineStr">
        <is>
          <t>SensitivePersonalData</t>
        </is>
      </c>
      <c r="D858" s="6" t="inlineStr">
        <is>
          <t>No Sensitive Personal Data</t>
        </is>
      </c>
      <c r="E858" s="6" t="inlineStr">
        <is>
          <t>No Sensitive Personal Data</t>
        </is>
      </c>
      <c r="F858" s="12" t="inlineStr">
        <is>
          <t>PASS</t>
        </is>
      </c>
      <c r="G858" t="inlineStr">
        <is>
          <t>BIM-core.SensitivePersonalData</t>
        </is>
      </c>
      <c r="H858" s="6" t="n"/>
    </row>
    <row r="859">
      <c r="A859" t="inlineStr">
        <is>
          <t>LIFECYCLE_PHASE</t>
        </is>
      </c>
      <c r="B859" t="inlineStr">
        <is>
          <t>Entity</t>
        </is>
      </c>
      <c r="C859" t="inlineStr">
        <is>
          <t>CSI</t>
        </is>
      </c>
      <c r="D859" s="6" t="inlineStr">
        <is>
          <t>false</t>
        </is>
      </c>
      <c r="E859" s="6" t="inlineStr">
        <is>
          <t>false</t>
        </is>
      </c>
      <c r="F859" s="12" t="inlineStr">
        <is>
          <t>PASS</t>
        </is>
      </c>
      <c r="G859" t="inlineStr">
        <is>
          <t>SHL_LDM_EntityPropertyExtension.CSI</t>
        </is>
      </c>
      <c r="H859" s="6" t="n"/>
    </row>
    <row r="860">
      <c r="A860" t="inlineStr">
        <is>
          <t>LIFECYCLE_PHASE</t>
        </is>
      </c>
      <c r="B860" t="inlineStr">
        <is>
          <t>Entity</t>
        </is>
      </c>
      <c r="C860" t="inlineStr">
        <is>
          <t>CommerciallySensitiveInformation</t>
        </is>
      </c>
      <c r="D860" s="6" t="inlineStr">
        <is>
          <t>No Commercially Sensitive Information</t>
        </is>
      </c>
      <c r="E860" s="6" t="inlineStr">
        <is>
          <t>No Commercially Sensitive Information</t>
        </is>
      </c>
      <c r="F860" s="12" t="inlineStr">
        <is>
          <t>PASS</t>
        </is>
      </c>
      <c r="G860" t="inlineStr">
        <is>
          <t>BIM-core.CommerciallySensitiveInformation</t>
        </is>
      </c>
      <c r="H860" s="6" t="n"/>
    </row>
    <row r="861">
      <c r="A861" t="inlineStr">
        <is>
          <t>LIFECYCLE_PHASE</t>
        </is>
      </c>
      <c r="B861" t="inlineStr">
        <is>
          <t>Entity</t>
        </is>
      </c>
      <c r="C861" t="inlineStr">
        <is>
          <t>Criticality</t>
        </is>
      </c>
      <c r="D861" s="6" t="inlineStr">
        <is>
          <t>No Critical Data</t>
        </is>
      </c>
      <c r="E861" s="6" t="inlineStr">
        <is>
          <t>No Critical Data</t>
        </is>
      </c>
      <c r="F861" s="12" t="inlineStr">
        <is>
          <t>PASS</t>
        </is>
      </c>
      <c r="G861" t="inlineStr">
        <is>
          <t>BIM-core.Criticality</t>
        </is>
      </c>
      <c r="H861" s="6" t="n"/>
    </row>
    <row r="862">
      <c r="A862" t="inlineStr">
        <is>
          <t>LIFECYCLE_PHASE</t>
        </is>
      </c>
      <c r="B862" t="inlineStr">
        <is>
          <t>Entity</t>
        </is>
      </c>
      <c r="C862" t="inlineStr">
        <is>
          <t>DataArea</t>
        </is>
      </c>
      <c r="D862" s="6" t="inlineStr">
        <is>
          <t>Carbon Intensity</t>
        </is>
      </c>
      <c r="E862" s="6" t="inlineStr">
        <is>
          <t>Carbon Intensity</t>
        </is>
      </c>
      <c r="F862" s="12" t="inlineStr">
        <is>
          <t>PASS</t>
        </is>
      </c>
      <c r="G862" t="inlineStr">
        <is>
          <t>BIM-core.DataArea</t>
        </is>
      </c>
      <c r="H862" s="6" t="n"/>
    </row>
    <row r="863">
      <c r="A863" t="inlineStr">
        <is>
          <t>LIFECYCLE_PHASE</t>
        </is>
      </c>
      <c r="B863" t="inlineStr">
        <is>
          <t>Entity</t>
        </is>
      </c>
      <c r="C863" t="inlineStr">
        <is>
          <t>DataCategory</t>
        </is>
      </c>
      <c r="D863" s="6" t="inlineStr">
        <is>
          <t>Structured</t>
        </is>
      </c>
      <c r="E863" s="6" t="inlineStr">
        <is>
          <t>Structured</t>
        </is>
      </c>
      <c r="F863" s="12" t="inlineStr">
        <is>
          <t>PASS</t>
        </is>
      </c>
      <c r="G863" t="inlineStr">
        <is>
          <t>BIM-core.DataCategory</t>
        </is>
      </c>
      <c r="H863" s="6" t="n"/>
    </row>
    <row r="864">
      <c r="A864" t="inlineStr">
        <is>
          <t>LIFECYCLE_PHASE</t>
        </is>
      </c>
      <c r="B864" t="inlineStr">
        <is>
          <t>Entity</t>
        </is>
      </c>
      <c r="C864" t="inlineStr">
        <is>
          <t>DataConfidentiality</t>
        </is>
      </c>
      <c r="D864" s="6" t="inlineStr">
        <is>
          <t>Internal</t>
        </is>
      </c>
      <c r="E864" s="6" t="inlineStr">
        <is>
          <t>Internal</t>
        </is>
      </c>
      <c r="F864" s="12" t="inlineStr">
        <is>
          <t>PASS</t>
        </is>
      </c>
      <c r="G864" t="inlineStr">
        <is>
          <t>BIM-core.DataConfidentiality</t>
        </is>
      </c>
      <c r="H864" s="6" t="n"/>
    </row>
    <row r="865">
      <c r="A865" t="inlineStr">
        <is>
          <t>LIFECYCLE_PHASE</t>
        </is>
      </c>
      <c r="B865" t="inlineStr">
        <is>
          <t>Entity</t>
        </is>
      </c>
      <c r="C865" t="inlineStr">
        <is>
          <t>DesignStatus</t>
        </is>
      </c>
      <c r="D865" s="6" t="inlineStr">
        <is>
          <t>Approved</t>
        </is>
      </c>
      <c r="E865" s="6" t="inlineStr">
        <is>
          <t>Approved</t>
        </is>
      </c>
      <c r="F865" s="12" t="inlineStr">
        <is>
          <t>PASS</t>
        </is>
      </c>
      <c r="G865" t="inlineStr">
        <is>
          <t>BIM-core.DesignStatus</t>
        </is>
      </c>
      <c r="H865" s="6" t="n"/>
    </row>
    <row r="866">
      <c r="A866" t="inlineStr">
        <is>
          <t>LIFECYCLE_PHASE</t>
        </is>
      </c>
      <c r="B866" t="inlineStr">
        <is>
          <t>Entity</t>
        </is>
      </c>
      <c r="C866" t="inlineStr">
        <is>
          <t>EntityCategory</t>
        </is>
      </c>
      <c r="D866" s="6" t="inlineStr">
        <is>
          <t>Internal Reference</t>
        </is>
      </c>
      <c r="E866" s="6" t="inlineStr">
        <is>
          <t>Internal Reference</t>
        </is>
      </c>
      <c r="F866" s="12" t="inlineStr">
        <is>
          <t>PASS</t>
        </is>
      </c>
      <c r="G866" t="inlineStr">
        <is>
          <t>BIM-core.EntityCategory</t>
        </is>
      </c>
      <c r="H866" s="6" t="n"/>
    </row>
    <row r="867">
      <c r="A867" t="inlineStr">
        <is>
          <t>LIFECYCLE_PHASE</t>
        </is>
      </c>
      <c r="B867" t="inlineStr">
        <is>
          <t>Entity</t>
        </is>
      </c>
      <c r="C867" t="inlineStr">
        <is>
          <t>EntityPersonalData</t>
        </is>
      </c>
      <c r="D867" s="6" t="inlineStr">
        <is>
          <t>No Personal Data</t>
        </is>
      </c>
      <c r="E867" s="6" t="inlineStr">
        <is>
          <t>No Personal Data</t>
        </is>
      </c>
      <c r="F867" s="12" t="inlineStr">
        <is>
          <t>PASS</t>
        </is>
      </c>
      <c r="G867" t="inlineStr">
        <is>
          <t>BIM-core.EntityPersonalData</t>
        </is>
      </c>
      <c r="H867" s="6" t="n"/>
    </row>
    <row r="868">
      <c r="A868" t="inlineStr">
        <is>
          <t>LIFECYCLE_PHASE</t>
        </is>
      </c>
      <c r="B868" t="inlineStr">
        <is>
          <t>Entity</t>
        </is>
      </c>
      <c r="C868" t="inlineStr">
        <is>
          <t>FinancialPersonalData</t>
        </is>
      </c>
      <c r="D868" s="6" t="inlineStr">
        <is>
          <t>No Financial Personal Data</t>
        </is>
      </c>
      <c r="E868" s="6" t="inlineStr">
        <is>
          <t>No Financial Personal Data</t>
        </is>
      </c>
      <c r="F868" s="12" t="inlineStr">
        <is>
          <t>PASS</t>
        </is>
      </c>
      <c r="G868" t="inlineStr">
        <is>
          <t>BIM-core.FinancialPersonalData</t>
        </is>
      </c>
      <c r="H868" s="6" t="n"/>
    </row>
    <row r="869">
      <c r="A869" t="inlineStr">
        <is>
          <t>LIFECYCLE_PHASE</t>
        </is>
      </c>
      <c r="B869" t="inlineStr">
        <is>
          <t>Entity</t>
        </is>
      </c>
      <c r="C869" t="inlineStr">
        <is>
          <t>MTED_Encryption_Required</t>
        </is>
      </c>
      <c r="D869" s="6" t="inlineStr">
        <is>
          <t>false</t>
        </is>
      </c>
      <c r="E869" s="6" t="inlineStr">
        <is>
          <t>false</t>
        </is>
      </c>
      <c r="F869" s="12" t="inlineStr">
        <is>
          <t>PASS</t>
        </is>
      </c>
      <c r="G869" t="inlineStr">
        <is>
          <t>SHL_LDM_EntityPropertyExtension.MTED_Encryption_Required</t>
        </is>
      </c>
      <c r="H869" s="6" t="n"/>
    </row>
    <row r="870">
      <c r="A870" t="inlineStr">
        <is>
          <t>LIFECYCLE_PHASE</t>
        </is>
      </c>
      <c r="B870" t="inlineStr">
        <is>
          <t>Entity</t>
        </is>
      </c>
      <c r="C870" t="inlineStr">
        <is>
          <t>MappingLevel</t>
        </is>
      </c>
      <c r="D870" s="6" t="inlineStr">
        <is>
          <t>BLM</t>
        </is>
      </c>
      <c r="E870" s="6" t="inlineStr">
        <is>
          <t>BLM</t>
        </is>
      </c>
      <c r="F870" s="12" t="inlineStr">
        <is>
          <t>PASS</t>
        </is>
      </c>
      <c r="G870" t="inlineStr">
        <is>
          <t>BIM-core.MappingLevel</t>
        </is>
      </c>
      <c r="H870" s="6" t="n"/>
    </row>
    <row r="871">
      <c r="A871" t="inlineStr">
        <is>
          <t>LIFECYCLE_PHASE</t>
        </is>
      </c>
      <c r="B871" t="inlineStr">
        <is>
          <t>Entity</t>
        </is>
      </c>
      <c r="C871" t="inlineStr">
        <is>
          <t>MapsToEntity</t>
        </is>
      </c>
      <c r="D871" s="6" t="inlineStr">
        <is>
          <t>PRODUCT_LIFE_CYCLE_STAGE</t>
        </is>
      </c>
      <c r="E871" s="6" t="inlineStr">
        <is>
          <t>PRODUCT_LIFE_CYCLE_STAGE</t>
        </is>
      </c>
      <c r="F871" s="12" t="inlineStr">
        <is>
          <t>PASS</t>
        </is>
      </c>
      <c r="G871" t="inlineStr">
        <is>
          <t>BIM-core.MapsToEntity</t>
        </is>
      </c>
      <c r="H871" s="6" t="n"/>
    </row>
    <row r="872">
      <c r="A872" t="inlineStr">
        <is>
          <t>LIFECYCLE_PHASE</t>
        </is>
      </c>
      <c r="B872" t="inlineStr">
        <is>
          <t>Entity</t>
        </is>
      </c>
      <c r="C872" t="inlineStr">
        <is>
          <t>PD_ObjectID</t>
        </is>
      </c>
      <c r="D872" s="6" t="inlineStr">
        <is>
          <t>CC7ED728-3531-4178-B671-2EF34EABE25E</t>
        </is>
      </c>
      <c r="E872" s="6" t="inlineStr">
        <is>
          <t>CC7ED728-3531-4178-B671-2EF34EABE25E</t>
        </is>
      </c>
      <c r="F872" s="12" t="inlineStr">
        <is>
          <t>PASS</t>
        </is>
      </c>
      <c r="H872" s="6" t="n"/>
    </row>
    <row r="873">
      <c r="A873" t="inlineStr">
        <is>
          <t>LIFECYCLE_PHASE</t>
        </is>
      </c>
      <c r="B873" t="inlineStr">
        <is>
          <t>Entity</t>
        </is>
      </c>
      <c r="C873" t="inlineStr">
        <is>
          <t>PD_SourceExtraction</t>
        </is>
      </c>
      <c r="D873" s="6" t="inlineStr">
        <is>
          <t>46603045</t>
        </is>
      </c>
      <c r="E873" s="6" t="inlineStr">
        <is>
          <t>46603045</t>
        </is>
      </c>
      <c r="F873" s="12" t="inlineStr">
        <is>
          <t>PASS</t>
        </is>
      </c>
      <c r="H873" s="6" t="n"/>
    </row>
    <row r="874">
      <c r="A874" t="inlineStr">
        <is>
          <t>LIFECYCLE_PHASE</t>
        </is>
      </c>
      <c r="B874" t="inlineStr">
        <is>
          <t>Entity</t>
        </is>
      </c>
      <c r="C874" t="inlineStr">
        <is>
          <t>PD_SourceModel</t>
        </is>
      </c>
      <c r="D874" s="6" t="inlineStr">
        <is>
          <t>05_Carbon_Calculator</t>
        </is>
      </c>
      <c r="E874" s="6" t="inlineStr">
        <is>
          <t>05_Carbon_Calculator</t>
        </is>
      </c>
      <c r="F874" s="12" t="inlineStr">
        <is>
          <t>PASS</t>
        </is>
      </c>
      <c r="H874" s="6" t="n"/>
    </row>
    <row r="875">
      <c r="A875" t="inlineStr">
        <is>
          <t>LIFECYCLE_PHASE</t>
        </is>
      </c>
      <c r="B875" t="inlineStr">
        <is>
          <t>Entity</t>
        </is>
      </c>
      <c r="C875" t="inlineStr">
        <is>
          <t>SensitivePersonalData</t>
        </is>
      </c>
      <c r="D875" s="6" t="inlineStr">
        <is>
          <t>No Sensitive Personal Data</t>
        </is>
      </c>
      <c r="E875" s="6" t="inlineStr">
        <is>
          <t>No Sensitive Personal Data</t>
        </is>
      </c>
      <c r="F875" s="12" t="inlineStr">
        <is>
          <t>PASS</t>
        </is>
      </c>
      <c r="G875" t="inlineStr">
        <is>
          <t>BIM-core.SensitivePersonalData</t>
        </is>
      </c>
      <c r="H875" s="6" t="n"/>
    </row>
    <row r="876">
      <c r="A876" t="inlineStr">
        <is>
          <t>LNG_ENGINE_TYPE</t>
        </is>
      </c>
      <c r="B876" t="inlineStr">
        <is>
          <t>Entity</t>
        </is>
      </c>
      <c r="C876" t="inlineStr">
        <is>
          <t>CSI</t>
        </is>
      </c>
      <c r="D876" s="6" t="inlineStr">
        <is>
          <t>false</t>
        </is>
      </c>
      <c r="E876" s="6" t="inlineStr">
        <is>
          <t>false</t>
        </is>
      </c>
      <c r="F876" s="12" t="inlineStr">
        <is>
          <t>PASS</t>
        </is>
      </c>
      <c r="G876" t="inlineStr">
        <is>
          <t>SHL_LDM_EntityPropertyExtension.CSI</t>
        </is>
      </c>
      <c r="H876" s="6" t="n"/>
    </row>
    <row r="877">
      <c r="A877" t="inlineStr">
        <is>
          <t>LNG_ENGINE_TYPE</t>
        </is>
      </c>
      <c r="B877" t="inlineStr">
        <is>
          <t>Entity</t>
        </is>
      </c>
      <c r="C877" t="inlineStr">
        <is>
          <t>CommerciallySensitiveInformation</t>
        </is>
      </c>
      <c r="D877" s="6" t="inlineStr">
        <is>
          <t>No Commercially Sensitive Information</t>
        </is>
      </c>
      <c r="E877" s="6" t="inlineStr">
        <is>
          <t>No Commercially Sensitive Information</t>
        </is>
      </c>
      <c r="F877" s="12" t="inlineStr">
        <is>
          <t>PASS</t>
        </is>
      </c>
      <c r="G877" t="inlineStr">
        <is>
          <t>BIM-core.CommerciallySensitiveInformation</t>
        </is>
      </c>
      <c r="H877" s="6" t="n"/>
    </row>
    <row r="878">
      <c r="A878" t="inlineStr">
        <is>
          <t>LNG_ENGINE_TYPE</t>
        </is>
      </c>
      <c r="B878" t="inlineStr">
        <is>
          <t>Entity</t>
        </is>
      </c>
      <c r="C878" t="inlineStr">
        <is>
          <t>Criticality</t>
        </is>
      </c>
      <c r="D878" s="6" t="inlineStr">
        <is>
          <t>No Critical Data</t>
        </is>
      </c>
      <c r="E878" s="6" t="inlineStr">
        <is>
          <t>No Critical Data</t>
        </is>
      </c>
      <c r="F878" s="12" t="inlineStr">
        <is>
          <t>PASS</t>
        </is>
      </c>
      <c r="G878" t="inlineStr">
        <is>
          <t>BIM-core.Criticality</t>
        </is>
      </c>
      <c r="H878" s="6" t="n"/>
    </row>
    <row r="879">
      <c r="A879" t="inlineStr">
        <is>
          <t>LNG_ENGINE_TYPE</t>
        </is>
      </c>
      <c r="B879" t="inlineStr">
        <is>
          <t>Entity</t>
        </is>
      </c>
      <c r="C879" t="inlineStr">
        <is>
          <t>DataCategory</t>
        </is>
      </c>
      <c r="D879" s="6" t="inlineStr">
        <is>
          <t>Structured</t>
        </is>
      </c>
      <c r="E879" s="6" t="inlineStr">
        <is>
          <t>Structured</t>
        </is>
      </c>
      <c r="F879" s="12" t="inlineStr">
        <is>
          <t>PASS</t>
        </is>
      </c>
      <c r="G879" t="inlineStr">
        <is>
          <t>BIM-core.DataCategory</t>
        </is>
      </c>
      <c r="H879" s="6" t="n"/>
    </row>
    <row r="880">
      <c r="A880" t="inlineStr">
        <is>
          <t>LNG_ENGINE_TYPE</t>
        </is>
      </c>
      <c r="B880" t="inlineStr">
        <is>
          <t>Entity</t>
        </is>
      </c>
      <c r="C880" t="inlineStr">
        <is>
          <t>DataConfidentiality</t>
        </is>
      </c>
      <c r="D880" s="6" t="inlineStr">
        <is>
          <t>Internal</t>
        </is>
      </c>
      <c r="E880" s="6" t="inlineStr">
        <is>
          <t>Internal</t>
        </is>
      </c>
      <c r="F880" s="12" t="inlineStr">
        <is>
          <t>PASS</t>
        </is>
      </c>
      <c r="G880" t="inlineStr">
        <is>
          <t>BIM-core.DataConfidentiality</t>
        </is>
      </c>
      <c r="H880" s="6" t="n"/>
    </row>
    <row r="881">
      <c r="A881" t="inlineStr">
        <is>
          <t>LNG_ENGINE_TYPE</t>
        </is>
      </c>
      <c r="B881" t="inlineStr">
        <is>
          <t>Entity</t>
        </is>
      </c>
      <c r="C881" t="inlineStr">
        <is>
          <t>DesignStatus</t>
        </is>
      </c>
      <c r="D881" s="6" t="inlineStr">
        <is>
          <t>Approved</t>
        </is>
      </c>
      <c r="E881" s="6" t="inlineStr">
        <is>
          <t>Approved</t>
        </is>
      </c>
      <c r="F881" s="12" t="inlineStr">
        <is>
          <t>PASS</t>
        </is>
      </c>
      <c r="G881" t="inlineStr">
        <is>
          <t>BIM-core.DesignStatus</t>
        </is>
      </c>
      <c r="H881" s="6" t="n"/>
    </row>
    <row r="882">
      <c r="A882" t="inlineStr">
        <is>
          <t>LNG_ENGINE_TYPE</t>
        </is>
      </c>
      <c r="B882" t="inlineStr">
        <is>
          <t>Entity</t>
        </is>
      </c>
      <c r="C882" t="inlineStr">
        <is>
          <t>EntityCategory</t>
        </is>
      </c>
      <c r="D882" s="6" t="inlineStr">
        <is>
          <t>External Reference</t>
        </is>
      </c>
      <c r="E882" s="6" t="inlineStr">
        <is>
          <t>External Reference</t>
        </is>
      </c>
      <c r="F882" s="12" t="inlineStr">
        <is>
          <t>PASS</t>
        </is>
      </c>
      <c r="G882" t="inlineStr">
        <is>
          <t>BIM-core.EntityCategory</t>
        </is>
      </c>
      <c r="H882" s="6" t="n"/>
    </row>
    <row r="883">
      <c r="A883" t="inlineStr">
        <is>
          <t>LNG_ENGINE_TYPE</t>
        </is>
      </c>
      <c r="B883" t="inlineStr">
        <is>
          <t>Entity</t>
        </is>
      </c>
      <c r="C883" t="inlineStr">
        <is>
          <t>EntityPersonalData</t>
        </is>
      </c>
      <c r="D883" s="6" t="inlineStr">
        <is>
          <t>No Personal Data</t>
        </is>
      </c>
      <c r="E883" s="6" t="inlineStr">
        <is>
          <t>No Personal Data</t>
        </is>
      </c>
      <c r="F883" s="12" t="inlineStr">
        <is>
          <t>PASS</t>
        </is>
      </c>
      <c r="G883" t="inlineStr">
        <is>
          <t>BIM-core.EntityPersonalData</t>
        </is>
      </c>
      <c r="H883" s="6" t="n"/>
    </row>
    <row r="884">
      <c r="A884" t="inlineStr">
        <is>
          <t>LNG_ENGINE_TYPE</t>
        </is>
      </c>
      <c r="B884" t="inlineStr">
        <is>
          <t>Entity</t>
        </is>
      </c>
      <c r="C884" t="inlineStr">
        <is>
          <t>FinancialPersonalData</t>
        </is>
      </c>
      <c r="D884" s="6" t="inlineStr">
        <is>
          <t>No Financial Personal Data</t>
        </is>
      </c>
      <c r="E884" s="6" t="inlineStr">
        <is>
          <t>No Financial Personal Data</t>
        </is>
      </c>
      <c r="F884" s="12" t="inlineStr">
        <is>
          <t>PASS</t>
        </is>
      </c>
      <c r="G884" t="inlineStr">
        <is>
          <t>BIM-core.FinancialPersonalData</t>
        </is>
      </c>
      <c r="H884" s="6" t="n"/>
    </row>
    <row r="885">
      <c r="A885" t="inlineStr">
        <is>
          <t>LNG_ENGINE_TYPE</t>
        </is>
      </c>
      <c r="B885" t="inlineStr">
        <is>
          <t>Entity</t>
        </is>
      </c>
      <c r="C885" t="inlineStr">
        <is>
          <t>MTED_Encryption_Required</t>
        </is>
      </c>
      <c r="D885" s="6" t="inlineStr">
        <is>
          <t>false</t>
        </is>
      </c>
      <c r="E885" s="6" t="inlineStr">
        <is>
          <t>false</t>
        </is>
      </c>
      <c r="F885" s="12" t="inlineStr">
        <is>
          <t>PASS</t>
        </is>
      </c>
      <c r="G885" t="inlineStr">
        <is>
          <t>SHL_LDM_EntityPropertyExtension.MTED_Encryption_Required</t>
        </is>
      </c>
      <c r="H885" s="6" t="n"/>
    </row>
    <row r="886">
      <c r="A886" t="inlineStr">
        <is>
          <t>LNG_ENGINE_TYPE</t>
        </is>
      </c>
      <c r="B886" t="inlineStr">
        <is>
          <t>Entity</t>
        </is>
      </c>
      <c r="C886" t="inlineStr">
        <is>
          <t>MappingLevel</t>
        </is>
      </c>
      <c r="D886" s="6" t="inlineStr">
        <is>
          <t>BLM</t>
        </is>
      </c>
      <c r="E886" s="6" t="inlineStr">
        <is>
          <t>BLM</t>
        </is>
      </c>
      <c r="F886" s="12" t="inlineStr">
        <is>
          <t>PASS</t>
        </is>
      </c>
      <c r="G886" t="inlineStr">
        <is>
          <t>BIM-core.MappingLevel</t>
        </is>
      </c>
      <c r="H886" s="6" t="n"/>
    </row>
    <row r="887">
      <c r="A887" t="inlineStr">
        <is>
          <t>LNG_ENGINE_TYPE</t>
        </is>
      </c>
      <c r="B887" t="inlineStr">
        <is>
          <t>Entity</t>
        </is>
      </c>
      <c r="C887" t="inlineStr">
        <is>
          <t>MapsToEntity</t>
        </is>
      </c>
      <c r="D887" s="6" t="inlineStr">
        <is>
          <t>LNG_ENGINE_TYPE</t>
        </is>
      </c>
      <c r="E887" s="6" t="inlineStr">
        <is>
          <t>LNG_ENGINE_TYPE</t>
        </is>
      </c>
      <c r="F887" s="12" t="inlineStr">
        <is>
          <t>PASS</t>
        </is>
      </c>
      <c r="G887" t="inlineStr">
        <is>
          <t>BIM-core.MapsToEntity</t>
        </is>
      </c>
      <c r="H887" s="6" t="n"/>
    </row>
    <row r="888">
      <c r="A888" t="inlineStr">
        <is>
          <t>LNG_ENGINE_TYPE</t>
        </is>
      </c>
      <c r="B888" t="inlineStr">
        <is>
          <t>Entity</t>
        </is>
      </c>
      <c r="C888" t="inlineStr">
        <is>
          <t>PD_ObjectID</t>
        </is>
      </c>
      <c r="D888" s="6" t="inlineStr">
        <is>
          <t>BB7BC91C-0D7E-430A-9E90-F1834E0931FE</t>
        </is>
      </c>
      <c r="E888" s="6" t="inlineStr">
        <is>
          <t>BB7BC91C-0D7E-430A-9E90-F1834E0931FE</t>
        </is>
      </c>
      <c r="F888" s="12" t="inlineStr">
        <is>
          <t>PASS</t>
        </is>
      </c>
      <c r="H888" s="6" t="n"/>
    </row>
    <row r="889">
      <c r="A889" t="inlineStr">
        <is>
          <t>LNG_ENGINE_TYPE</t>
        </is>
      </c>
      <c r="B889" t="inlineStr">
        <is>
          <t>Entity</t>
        </is>
      </c>
      <c r="C889" t="inlineStr">
        <is>
          <t>PD_SourceExtraction</t>
        </is>
      </c>
      <c r="D889" s="6" t="inlineStr">
        <is>
          <t>46603045</t>
        </is>
      </c>
      <c r="E889" s="6" t="inlineStr">
        <is>
          <t>46603045</t>
        </is>
      </c>
      <c r="F889" s="12" t="inlineStr">
        <is>
          <t>PASS</t>
        </is>
      </c>
      <c r="H889" s="6" t="n"/>
    </row>
    <row r="890">
      <c r="A890" t="inlineStr">
        <is>
          <t>LNG_ENGINE_TYPE</t>
        </is>
      </c>
      <c r="B890" t="inlineStr">
        <is>
          <t>Entity</t>
        </is>
      </c>
      <c r="C890" t="inlineStr">
        <is>
          <t>PD_SourceModel</t>
        </is>
      </c>
      <c r="D890" s="6" t="inlineStr">
        <is>
          <t>05_Carbon_Calculator</t>
        </is>
      </c>
      <c r="E890" s="6" t="inlineStr">
        <is>
          <t>05_Carbon_Calculator</t>
        </is>
      </c>
      <c r="F890" s="12" t="inlineStr">
        <is>
          <t>PASS</t>
        </is>
      </c>
      <c r="H890" s="6" t="n"/>
    </row>
    <row r="891">
      <c r="A891" t="inlineStr">
        <is>
          <t>LNG_ENGINE_TYPE</t>
        </is>
      </c>
      <c r="B891" t="inlineStr">
        <is>
          <t>Entity</t>
        </is>
      </c>
      <c r="C891" t="inlineStr">
        <is>
          <t>SensitivePersonalData</t>
        </is>
      </c>
      <c r="D891" s="6" t="inlineStr">
        <is>
          <t>No Sensitive Personal Data</t>
        </is>
      </c>
      <c r="E891" s="6" t="inlineStr">
        <is>
          <t>No Sensitive Personal Data</t>
        </is>
      </c>
      <c r="F891" s="12" t="inlineStr">
        <is>
          <t>PASS</t>
        </is>
      </c>
      <c r="G891" t="inlineStr">
        <is>
          <t>BIM-core.SensitivePersonalData</t>
        </is>
      </c>
      <c r="H891" s="6" t="n"/>
    </row>
    <row r="892">
      <c r="A892" t="inlineStr">
        <is>
          <t>NCI_CLIENT_PARAMETER</t>
        </is>
      </c>
      <c r="B892" t="inlineStr">
        <is>
          <t>Entity</t>
        </is>
      </c>
      <c r="C892" t="inlineStr">
        <is>
          <t>CSI</t>
        </is>
      </c>
      <c r="D892" s="6" t="inlineStr">
        <is>
          <t>false</t>
        </is>
      </c>
      <c r="E892" s="6" t="inlineStr">
        <is>
          <t>false</t>
        </is>
      </c>
      <c r="F892" s="12" t="inlineStr">
        <is>
          <t>PASS</t>
        </is>
      </c>
      <c r="G892" t="inlineStr">
        <is>
          <t>SHL_LDM_EntityPropertyExtension.CSI</t>
        </is>
      </c>
      <c r="H892" s="6" t="n"/>
    </row>
    <row r="893">
      <c r="A893" t="inlineStr">
        <is>
          <t>NCI_CLIENT_PARAMETER</t>
        </is>
      </c>
      <c r="B893" t="inlineStr">
        <is>
          <t>Entity</t>
        </is>
      </c>
      <c r="C893" t="inlineStr">
        <is>
          <t>CommerciallySensitiveInformation</t>
        </is>
      </c>
      <c r="D893" s="6" t="inlineStr">
        <is>
          <t>No Commercially Sensitive Information</t>
        </is>
      </c>
      <c r="E893" s="6" t="inlineStr">
        <is>
          <t>No Commercially Sensitive Information</t>
        </is>
      </c>
      <c r="F893" s="12" t="inlineStr">
        <is>
          <t>PASS</t>
        </is>
      </c>
      <c r="G893" t="inlineStr">
        <is>
          <t>BIM-core.CommerciallySensitiveInformation</t>
        </is>
      </c>
      <c r="H893" s="6" t="n"/>
    </row>
    <row r="894">
      <c r="A894" t="inlineStr">
        <is>
          <t>NCI_CLIENT_PARAMETER</t>
        </is>
      </c>
      <c r="B894" t="inlineStr">
        <is>
          <t>Entity</t>
        </is>
      </c>
      <c r="C894" t="inlineStr">
        <is>
          <t>Criticality</t>
        </is>
      </c>
      <c r="D894" s="6" t="inlineStr">
        <is>
          <t>No Critical Data</t>
        </is>
      </c>
      <c r="E894" s="6" t="inlineStr">
        <is>
          <t>No Critical Data</t>
        </is>
      </c>
      <c r="F894" s="12" t="inlineStr">
        <is>
          <t>PASS</t>
        </is>
      </c>
      <c r="G894" t="inlineStr">
        <is>
          <t>BIM-core.Criticality</t>
        </is>
      </c>
      <c r="H894" s="6" t="n"/>
    </row>
    <row r="895">
      <c r="A895" t="inlineStr">
        <is>
          <t>NCI_CLIENT_PARAMETER</t>
        </is>
      </c>
      <c r="B895" t="inlineStr">
        <is>
          <t>Entity</t>
        </is>
      </c>
      <c r="C895" t="inlineStr">
        <is>
          <t>DataCategory</t>
        </is>
      </c>
      <c r="D895" s="6" t="inlineStr">
        <is>
          <t>Structured</t>
        </is>
      </c>
      <c r="E895" s="6" t="inlineStr">
        <is>
          <t>Structured</t>
        </is>
      </c>
      <c r="F895" s="12" t="inlineStr">
        <is>
          <t>PASS</t>
        </is>
      </c>
      <c r="G895" t="inlineStr">
        <is>
          <t>BIM-core.DataCategory</t>
        </is>
      </c>
      <c r="H895" s="6" t="n"/>
    </row>
    <row r="896">
      <c r="A896" t="inlineStr">
        <is>
          <t>NCI_CLIENT_PARAMETER</t>
        </is>
      </c>
      <c r="B896" t="inlineStr">
        <is>
          <t>Entity</t>
        </is>
      </c>
      <c r="C896" t="inlineStr">
        <is>
          <t>DataConfidentiality</t>
        </is>
      </c>
      <c r="D896" s="6" t="inlineStr">
        <is>
          <t>Internal</t>
        </is>
      </c>
      <c r="E896" s="6" t="inlineStr">
        <is>
          <t>Internal</t>
        </is>
      </c>
      <c r="F896" s="12" t="inlineStr">
        <is>
          <t>PASS</t>
        </is>
      </c>
      <c r="G896" t="inlineStr">
        <is>
          <t>BIM-core.DataConfidentiality</t>
        </is>
      </c>
      <c r="H896" s="6" t="n"/>
    </row>
    <row r="897">
      <c r="A897" t="inlineStr">
        <is>
          <t>NCI_CLIENT_PARAMETER</t>
        </is>
      </c>
      <c r="B897" t="inlineStr">
        <is>
          <t>Entity</t>
        </is>
      </c>
      <c r="C897" t="inlineStr">
        <is>
          <t>DesignStatus</t>
        </is>
      </c>
      <c r="D897" s="6" t="inlineStr">
        <is>
          <t>Approved</t>
        </is>
      </c>
      <c r="E897" s="6" t="inlineStr">
        <is>
          <t>Approved</t>
        </is>
      </c>
      <c r="F897" s="12" t="inlineStr">
        <is>
          <t>PASS</t>
        </is>
      </c>
      <c r="G897" t="inlineStr">
        <is>
          <t>BIM-core.DesignStatus</t>
        </is>
      </c>
      <c r="H897" s="6" t="n"/>
    </row>
    <row r="898">
      <c r="A898" t="inlineStr">
        <is>
          <t>NCI_CLIENT_PARAMETER</t>
        </is>
      </c>
      <c r="B898" t="inlineStr">
        <is>
          <t>Entity</t>
        </is>
      </c>
      <c r="C898" t="inlineStr">
        <is>
          <t>EntityCategory</t>
        </is>
      </c>
      <c r="D898" s="6" t="inlineStr">
        <is>
          <t>Internal Reference</t>
        </is>
      </c>
      <c r="E898" s="6" t="inlineStr">
        <is>
          <t>Internal Reference</t>
        </is>
      </c>
      <c r="F898" s="12" t="inlineStr">
        <is>
          <t>PASS</t>
        </is>
      </c>
      <c r="G898" t="inlineStr">
        <is>
          <t>BIM-core.EntityCategory</t>
        </is>
      </c>
      <c r="H898" s="6" t="n"/>
    </row>
    <row r="899">
      <c r="A899" t="inlineStr">
        <is>
          <t>NCI_CLIENT_PARAMETER</t>
        </is>
      </c>
      <c r="B899" t="inlineStr">
        <is>
          <t>Entity</t>
        </is>
      </c>
      <c r="C899" t="inlineStr">
        <is>
          <t>EntityPersonalData</t>
        </is>
      </c>
      <c r="D899" s="6" t="inlineStr">
        <is>
          <t>No Personal Data</t>
        </is>
      </c>
      <c r="E899" s="6" t="inlineStr">
        <is>
          <t>No Personal Data</t>
        </is>
      </c>
      <c r="F899" s="12" t="inlineStr">
        <is>
          <t>PASS</t>
        </is>
      </c>
      <c r="G899" t="inlineStr">
        <is>
          <t>BIM-core.EntityPersonalData</t>
        </is>
      </c>
      <c r="H899" s="6" t="n"/>
    </row>
    <row r="900">
      <c r="A900" t="inlineStr">
        <is>
          <t>NCI_CLIENT_PARAMETER</t>
        </is>
      </c>
      <c r="B900" t="inlineStr">
        <is>
          <t>Entity</t>
        </is>
      </c>
      <c r="C900" t="inlineStr">
        <is>
          <t>FinancialPersonalData</t>
        </is>
      </c>
      <c r="D900" s="6" t="inlineStr">
        <is>
          <t>No Financial Personal Data</t>
        </is>
      </c>
      <c r="E900" s="6" t="inlineStr">
        <is>
          <t>No Financial Personal Data</t>
        </is>
      </c>
      <c r="F900" s="12" t="inlineStr">
        <is>
          <t>PASS</t>
        </is>
      </c>
      <c r="G900" t="inlineStr">
        <is>
          <t>BIM-core.FinancialPersonalData</t>
        </is>
      </c>
      <c r="H900" s="6" t="n"/>
    </row>
    <row r="901">
      <c r="A901" t="inlineStr">
        <is>
          <t>NCI_CLIENT_PARAMETER</t>
        </is>
      </c>
      <c r="B901" t="inlineStr">
        <is>
          <t>Entity</t>
        </is>
      </c>
      <c r="C901" t="inlineStr">
        <is>
          <t>MTED_EDaM_Mapping_Note</t>
        </is>
      </c>
      <c r="D901" s="6" t="inlineStr">
        <is>
          <t>{\rtf1\ansi\ansicpg1252\deff0\nouicompat\deflang2057{\fonttbl{\f0\fnil\fcharset0 Times New Roman;}}</t>
        </is>
      </c>
      <c r="E901" s="6" t="inlineStr">
        <is>
          <t>{\rtf1\ansi\ansicpg1252\deff0\nouicompat\deflang2057{\fonttbl{\f0\fnil\fcharset0 Times New Roman;}}</t>
        </is>
      </c>
      <c r="F901" s="12" t="inlineStr">
        <is>
          <t>PASS</t>
        </is>
      </c>
      <c r="G901" t="inlineStr">
        <is>
          <t>BIM-core.MTED_EDaM_Mapping_Note</t>
        </is>
      </c>
      <c r="H901" s="6" t="n"/>
    </row>
    <row r="902">
      <c r="A902" t="inlineStr">
        <is>
          <t>NCI_CLIENT_PARAMETER</t>
        </is>
      </c>
      <c r="B902" t="inlineStr">
        <is>
          <t>Entity</t>
        </is>
      </c>
      <c r="C902" t="inlineStr">
        <is>
          <t>MTED_Encryption_Required</t>
        </is>
      </c>
      <c r="D902" s="6" t="inlineStr">
        <is>
          <t>false</t>
        </is>
      </c>
      <c r="E902" s="6" t="inlineStr">
        <is>
          <t>false</t>
        </is>
      </c>
      <c r="F902" s="12" t="inlineStr">
        <is>
          <t>PASS</t>
        </is>
      </c>
      <c r="G902" t="inlineStr">
        <is>
          <t>SHL_LDM_EntityPropertyExtension.MTED_Encryption_Required</t>
        </is>
      </c>
      <c r="H902" s="6" t="n"/>
    </row>
    <row r="903">
      <c r="A903" t="inlineStr">
        <is>
          <t>NCI_CLIENT_PARAMETER</t>
        </is>
      </c>
      <c r="B903" t="inlineStr">
        <is>
          <t>Entity</t>
        </is>
      </c>
      <c r="C903" t="inlineStr">
        <is>
          <t>MappingLevel</t>
        </is>
      </c>
      <c r="D903" s="6" t="inlineStr">
        <is>
          <t>Application Specific</t>
        </is>
      </c>
      <c r="E903" s="6" t="inlineStr">
        <is>
          <t>Application Specific</t>
        </is>
      </c>
      <c r="F903" s="12" t="inlineStr">
        <is>
          <t>PASS</t>
        </is>
      </c>
      <c r="G903" t="inlineStr">
        <is>
          <t>BIM-core.MappingLevel</t>
        </is>
      </c>
      <c r="H903" s="6" t="n"/>
    </row>
    <row r="904">
      <c r="A904" t="inlineStr">
        <is>
          <t>NCI_CLIENT_PARAMETER</t>
        </is>
      </c>
      <c r="B904" t="inlineStr">
        <is>
          <t>Entity</t>
        </is>
      </c>
      <c r="C904" t="inlineStr">
        <is>
          <t>PD_ObjectID</t>
        </is>
      </c>
      <c r="D904" s="6" t="inlineStr">
        <is>
          <t>4AD1CC90-33DC-4469-AC36-F0EC29991152</t>
        </is>
      </c>
      <c r="E904" s="6" t="inlineStr">
        <is>
          <t>4AD1CC90-33DC-4469-AC36-F0EC29991152</t>
        </is>
      </c>
      <c r="F904" s="12" t="inlineStr">
        <is>
          <t>PASS</t>
        </is>
      </c>
      <c r="H904" s="6" t="n"/>
    </row>
    <row r="905">
      <c r="A905" t="inlineStr">
        <is>
          <t>NCI_CLIENT_PARAMETER</t>
        </is>
      </c>
      <c r="B905" t="inlineStr">
        <is>
          <t>Entity</t>
        </is>
      </c>
      <c r="C905" t="inlineStr">
        <is>
          <t>PD_SourceExtraction</t>
        </is>
      </c>
      <c r="D905" s="6" t="inlineStr">
        <is>
          <t>46603045</t>
        </is>
      </c>
      <c r="E905" s="6" t="inlineStr">
        <is>
          <t>46603045</t>
        </is>
      </c>
      <c r="F905" s="12" t="inlineStr">
        <is>
          <t>PASS</t>
        </is>
      </c>
      <c r="H905" s="6" t="n"/>
    </row>
    <row r="906">
      <c r="A906" t="inlineStr">
        <is>
          <t>NCI_CLIENT_PARAMETER</t>
        </is>
      </c>
      <c r="B906" t="inlineStr">
        <is>
          <t>Entity</t>
        </is>
      </c>
      <c r="C906" t="inlineStr">
        <is>
          <t>PD_SourceModel</t>
        </is>
      </c>
      <c r="D906" s="6" t="inlineStr">
        <is>
          <t>05_Carbon_Calculator</t>
        </is>
      </c>
      <c r="E906" s="6" t="inlineStr">
        <is>
          <t>05_Carbon_Calculator</t>
        </is>
      </c>
      <c r="F906" s="12" t="inlineStr">
        <is>
          <t>PASS</t>
        </is>
      </c>
      <c r="H906" s="6" t="n"/>
    </row>
    <row r="907">
      <c r="A907" t="inlineStr">
        <is>
          <t>NCI_CLIENT_PARAMETER</t>
        </is>
      </c>
      <c r="B907" t="inlineStr">
        <is>
          <t>Entity</t>
        </is>
      </c>
      <c r="C907" t="inlineStr">
        <is>
          <t>SensitivePersonalData</t>
        </is>
      </c>
      <c r="D907" s="6" t="inlineStr">
        <is>
          <t>No Sensitive Personal Data</t>
        </is>
      </c>
      <c r="E907" s="6" t="inlineStr">
        <is>
          <t>No Sensitive Personal Data</t>
        </is>
      </c>
      <c r="F907" s="12" t="inlineStr">
        <is>
          <t>PASS</t>
        </is>
      </c>
      <c r="G907" t="inlineStr">
        <is>
          <t>BIM-core.SensitivePersonalData</t>
        </is>
      </c>
      <c r="H907" s="6" t="n"/>
    </row>
    <row r="908">
      <c r="A908" t="inlineStr">
        <is>
          <t>NCI_CLIENT_PARAMETER_PVS</t>
        </is>
      </c>
      <c r="B908" t="inlineStr">
        <is>
          <t>Entity</t>
        </is>
      </c>
      <c r="C908" t="inlineStr">
        <is>
          <t>CommerciallySensitiveInformation</t>
        </is>
      </c>
      <c r="D908" s="6" t="inlineStr">
        <is>
          <t>No Commercially Sensitive Information</t>
        </is>
      </c>
      <c r="E908" s="6" t="inlineStr">
        <is>
          <t>No Commercially Sensitive Information</t>
        </is>
      </c>
      <c r="F908" s="12" t="inlineStr">
        <is>
          <t>PASS</t>
        </is>
      </c>
      <c r="G908" t="inlineStr">
        <is>
          <t>BIM-core.CommerciallySensitiveInformation</t>
        </is>
      </c>
      <c r="H908" s="6" t="n"/>
    </row>
    <row r="909">
      <c r="A909" t="inlineStr">
        <is>
          <t>NCI_CLIENT_PARAMETER_PVS</t>
        </is>
      </c>
      <c r="B909" t="inlineStr">
        <is>
          <t>Entity</t>
        </is>
      </c>
      <c r="C909" t="inlineStr">
        <is>
          <t>Criticality</t>
        </is>
      </c>
      <c r="D909" s="6" t="inlineStr">
        <is>
          <t>No Critical Data</t>
        </is>
      </c>
      <c r="E909" s="6" t="inlineStr">
        <is>
          <t>No Critical Data</t>
        </is>
      </c>
      <c r="F909" s="12" t="inlineStr">
        <is>
          <t>PASS</t>
        </is>
      </c>
      <c r="G909" t="inlineStr">
        <is>
          <t>BIM-core.Criticality</t>
        </is>
      </c>
      <c r="H909" s="6" t="n"/>
    </row>
    <row r="910">
      <c r="A910" t="inlineStr">
        <is>
          <t>NCI_CLIENT_PARAMETER_PVS</t>
        </is>
      </c>
      <c r="B910" t="inlineStr">
        <is>
          <t>Entity</t>
        </is>
      </c>
      <c r="C910" t="inlineStr">
        <is>
          <t>DataCategory</t>
        </is>
      </c>
      <c r="D910" s="6" t="inlineStr">
        <is>
          <t>Structured</t>
        </is>
      </c>
      <c r="E910" s="6" t="inlineStr">
        <is>
          <t>Structured</t>
        </is>
      </c>
      <c r="F910" s="12" t="inlineStr">
        <is>
          <t>PASS</t>
        </is>
      </c>
      <c r="G910" t="inlineStr">
        <is>
          <t>BIM-core.DataCategory</t>
        </is>
      </c>
      <c r="H910" s="6" t="n"/>
    </row>
    <row r="911">
      <c r="A911" t="inlineStr">
        <is>
          <t>NCI_CLIENT_PARAMETER_PVS</t>
        </is>
      </c>
      <c r="B911" t="inlineStr">
        <is>
          <t>Entity</t>
        </is>
      </c>
      <c r="C911" t="inlineStr">
        <is>
          <t>DataConfidentiality</t>
        </is>
      </c>
      <c r="D911" s="6" t="inlineStr">
        <is>
          <t>Internal</t>
        </is>
      </c>
      <c r="E911" s="6" t="inlineStr">
        <is>
          <t>Internal</t>
        </is>
      </c>
      <c r="F911" s="12" t="inlineStr">
        <is>
          <t>PASS</t>
        </is>
      </c>
      <c r="G911" t="inlineStr">
        <is>
          <t>BIM-core.DataConfidentiality</t>
        </is>
      </c>
      <c r="H911" s="6" t="n"/>
    </row>
    <row r="912">
      <c r="A912" t="inlineStr">
        <is>
          <t>NCI_CLIENT_PARAMETER_PVS</t>
        </is>
      </c>
      <c r="B912" t="inlineStr">
        <is>
          <t>Entity</t>
        </is>
      </c>
      <c r="C912" t="inlineStr">
        <is>
          <t>DesignStatus</t>
        </is>
      </c>
      <c r="D912" s="6" t="inlineStr">
        <is>
          <t>Approved</t>
        </is>
      </c>
      <c r="E912" s="6" t="inlineStr">
        <is>
          <t>Approved</t>
        </is>
      </c>
      <c r="F912" s="12" t="inlineStr">
        <is>
          <t>PASS</t>
        </is>
      </c>
      <c r="G912" t="inlineStr">
        <is>
          <t>BIM-core.DesignStatus</t>
        </is>
      </c>
      <c r="H912" s="6" t="n"/>
    </row>
    <row r="913">
      <c r="A913" t="inlineStr">
        <is>
          <t>NCI_CLIENT_PARAMETER_PVS</t>
        </is>
      </c>
      <c r="B913" t="inlineStr">
        <is>
          <t>Entity</t>
        </is>
      </c>
      <c r="C913" t="inlineStr">
        <is>
          <t>EntityCategory</t>
        </is>
      </c>
      <c r="D913" s="6" t="inlineStr">
        <is>
          <t>Master</t>
        </is>
      </c>
      <c r="E913" s="6" t="inlineStr">
        <is>
          <t>Master</t>
        </is>
      </c>
      <c r="F913" s="12" t="inlineStr">
        <is>
          <t>PASS</t>
        </is>
      </c>
      <c r="G913" t="inlineStr">
        <is>
          <t>BIM-core.EntityCategory</t>
        </is>
      </c>
      <c r="H913" s="6" t="n"/>
    </row>
    <row r="914">
      <c r="A914" t="inlineStr">
        <is>
          <t>NCI_CLIENT_PARAMETER_PVS</t>
        </is>
      </c>
      <c r="B914" t="inlineStr">
        <is>
          <t>Entity</t>
        </is>
      </c>
      <c r="C914" t="inlineStr">
        <is>
          <t>EntityPersonalData</t>
        </is>
      </c>
      <c r="D914" s="6" t="inlineStr">
        <is>
          <t>No Personal Data</t>
        </is>
      </c>
      <c r="E914" s="6" t="inlineStr">
        <is>
          <t>No Personal Data</t>
        </is>
      </c>
      <c r="F914" s="12" t="inlineStr">
        <is>
          <t>PASS</t>
        </is>
      </c>
      <c r="G914" t="inlineStr">
        <is>
          <t>BIM-core.EntityPersonalData</t>
        </is>
      </c>
      <c r="H914" s="6" t="n"/>
    </row>
    <row r="915">
      <c r="A915" t="inlineStr">
        <is>
          <t>NCI_CLIENT_PARAMETER_PVS</t>
        </is>
      </c>
      <c r="B915" t="inlineStr">
        <is>
          <t>Entity</t>
        </is>
      </c>
      <c r="C915" t="inlineStr">
        <is>
          <t>FinancialPersonalData</t>
        </is>
      </c>
      <c r="D915" s="6" t="inlineStr">
        <is>
          <t>No Financial Personal Data</t>
        </is>
      </c>
      <c r="E915" s="6" t="inlineStr">
        <is>
          <t>No Financial Personal Data</t>
        </is>
      </c>
      <c r="F915" s="12" t="inlineStr">
        <is>
          <t>PASS</t>
        </is>
      </c>
      <c r="G915" t="inlineStr">
        <is>
          <t>BIM-core.FinancialPersonalData</t>
        </is>
      </c>
      <c r="H915" s="6" t="n"/>
    </row>
    <row r="916">
      <c r="A916" t="inlineStr">
        <is>
          <t>NCI_CLIENT_PARAMETER_PVS</t>
        </is>
      </c>
      <c r="B916" t="inlineStr">
        <is>
          <t>Entity</t>
        </is>
      </c>
      <c r="C916" t="inlineStr">
        <is>
          <t>MTED_EDaM_Mapping_Note</t>
        </is>
      </c>
      <c r="D916" s="6" t="inlineStr">
        <is>
          <t>{\rtf1\ansi\ansicpg1252\deff0\nouicompat\deflang2057{\fonttbl{\f0\fnil\fcharset0 Times New Roman;}}</t>
        </is>
      </c>
      <c r="E916" s="6" t="inlineStr">
        <is>
          <t>{\rtf1\ansi\ansicpg1252\deff0\nouicompat\deflang2057{\fonttbl{\f0\fnil\fcharset0 Times New Roman;}}</t>
        </is>
      </c>
      <c r="F916" s="12" t="inlineStr">
        <is>
          <t>PASS</t>
        </is>
      </c>
      <c r="G916" t="inlineStr">
        <is>
          <t>BIM-core.MTED_EDaM_Mapping_Note</t>
        </is>
      </c>
      <c r="H916" s="6" t="n"/>
    </row>
    <row r="917">
      <c r="A917" t="inlineStr">
        <is>
          <t>NCI_CLIENT_PARAMETER_PVS</t>
        </is>
      </c>
      <c r="B917" t="inlineStr">
        <is>
          <t>Entity</t>
        </is>
      </c>
      <c r="C917" t="inlineStr">
        <is>
          <t>MappingLevel</t>
        </is>
      </c>
      <c r="D917" s="6" t="inlineStr">
        <is>
          <t>Application Specific</t>
        </is>
      </c>
      <c r="E917" s="6" t="inlineStr">
        <is>
          <t>Application Specific</t>
        </is>
      </c>
      <c r="F917" s="12" t="inlineStr">
        <is>
          <t>PASS</t>
        </is>
      </c>
      <c r="G917" t="inlineStr">
        <is>
          <t>BIM-core.MappingLevel</t>
        </is>
      </c>
      <c r="H917" s="6" t="n"/>
    </row>
    <row r="918">
      <c r="A918" t="inlineStr">
        <is>
          <t>NCI_CLIENT_PARAMETER_PVS</t>
        </is>
      </c>
      <c r="B918" t="inlineStr">
        <is>
          <t>Entity</t>
        </is>
      </c>
      <c r="C918" t="inlineStr">
        <is>
          <t>PD_ObjectID</t>
        </is>
      </c>
      <c r="D918" s="6" t="inlineStr">
        <is>
          <t>1DD1F57D-C54E-4424-92F3-E1123E29FDA0</t>
        </is>
      </c>
      <c r="E918" s="6" t="inlineStr">
        <is>
          <t>1DD1F57D-C54E-4424-92F3-E1123E29FDA0</t>
        </is>
      </c>
      <c r="F918" s="12" t="inlineStr">
        <is>
          <t>PASS</t>
        </is>
      </c>
      <c r="H918" s="6" t="n"/>
    </row>
    <row r="919">
      <c r="A919" t="inlineStr">
        <is>
          <t>NCI_CLIENT_PARAMETER_PVS</t>
        </is>
      </c>
      <c r="B919" t="inlineStr">
        <is>
          <t>Entity</t>
        </is>
      </c>
      <c r="C919" t="inlineStr">
        <is>
          <t>PD_SourceExtraction</t>
        </is>
      </c>
      <c r="D919" s="6" t="inlineStr">
        <is>
          <t>46603045</t>
        </is>
      </c>
      <c r="E919" s="6" t="inlineStr">
        <is>
          <t>46603045</t>
        </is>
      </c>
      <c r="F919" s="12" t="inlineStr">
        <is>
          <t>PASS</t>
        </is>
      </c>
      <c r="H919" s="6" t="n"/>
    </row>
    <row r="920">
      <c r="A920" t="inlineStr">
        <is>
          <t>NCI_CLIENT_PARAMETER_PVS</t>
        </is>
      </c>
      <c r="B920" t="inlineStr">
        <is>
          <t>Entity</t>
        </is>
      </c>
      <c r="C920" t="inlineStr">
        <is>
          <t>PD_SourceModel</t>
        </is>
      </c>
      <c r="D920" s="6" t="inlineStr">
        <is>
          <t>05_Carbon_Calculator</t>
        </is>
      </c>
      <c r="E920" s="6" t="inlineStr">
        <is>
          <t>05_Carbon_Calculator</t>
        </is>
      </c>
      <c r="F920" s="12" t="inlineStr">
        <is>
          <t>PASS</t>
        </is>
      </c>
      <c r="H920" s="6" t="n"/>
    </row>
    <row r="921">
      <c r="A921" t="inlineStr">
        <is>
          <t>NCI_CLIENT_PARAMETER_PVS</t>
        </is>
      </c>
      <c r="B921" t="inlineStr">
        <is>
          <t>Entity</t>
        </is>
      </c>
      <c r="C921" t="inlineStr">
        <is>
          <t>SensitivePersonalData</t>
        </is>
      </c>
      <c r="D921" s="6" t="inlineStr">
        <is>
          <t>No Sensitive Personal Data</t>
        </is>
      </c>
      <c r="E921" s="6" t="inlineStr">
        <is>
          <t>No Sensitive Personal Data</t>
        </is>
      </c>
      <c r="F921" s="12" t="inlineStr">
        <is>
          <t>PASS</t>
        </is>
      </c>
      <c r="G921" t="inlineStr">
        <is>
          <t>BIM-core.SensitivePersonalData</t>
        </is>
      </c>
      <c r="H921" s="6" t="n"/>
    </row>
    <row r="922">
      <c r="A922" t="inlineStr">
        <is>
          <t>NCI_CLIENT_PARAMETER_VALUE_SET</t>
        </is>
      </c>
      <c r="B922" t="inlineStr">
        <is>
          <t>Entity</t>
        </is>
      </c>
      <c r="C922" t="inlineStr">
        <is>
          <t>CSI</t>
        </is>
      </c>
      <c r="D922" s="6" t="inlineStr">
        <is>
          <t>false</t>
        </is>
      </c>
      <c r="E922" s="6" t="inlineStr">
        <is>
          <t>false</t>
        </is>
      </c>
      <c r="F922" s="12" t="inlineStr">
        <is>
          <t>PASS</t>
        </is>
      </c>
      <c r="G922" t="inlineStr">
        <is>
          <t>SHL_LDM_EntityPropertyExtension.CSI</t>
        </is>
      </c>
      <c r="H922" s="6" t="n"/>
    </row>
    <row r="923">
      <c r="A923" t="inlineStr">
        <is>
          <t>NCI_CLIENT_PARAMETER_VALUE_SET</t>
        </is>
      </c>
      <c r="B923" t="inlineStr">
        <is>
          <t>Entity</t>
        </is>
      </c>
      <c r="C923" t="inlineStr">
        <is>
          <t>CommerciallySensitiveInformation</t>
        </is>
      </c>
      <c r="D923" s="6" t="inlineStr">
        <is>
          <t>No Commercially Sensitive Information</t>
        </is>
      </c>
      <c r="E923" s="6" t="inlineStr">
        <is>
          <t>No Commercially Sensitive Information</t>
        </is>
      </c>
      <c r="F923" s="12" t="inlineStr">
        <is>
          <t>PASS</t>
        </is>
      </c>
      <c r="G923" t="inlineStr">
        <is>
          <t>BIM-core.CommerciallySensitiveInformation</t>
        </is>
      </c>
      <c r="H923" s="6" t="n"/>
    </row>
    <row r="924">
      <c r="A924" t="inlineStr">
        <is>
          <t>NCI_CLIENT_PARAMETER_VALUE_SET</t>
        </is>
      </c>
      <c r="B924" t="inlineStr">
        <is>
          <t>Entity</t>
        </is>
      </c>
      <c r="C924" t="inlineStr">
        <is>
          <t>Criticality</t>
        </is>
      </c>
      <c r="D924" s="6" t="inlineStr">
        <is>
          <t>No Critical Data</t>
        </is>
      </c>
      <c r="E924" s="6" t="inlineStr">
        <is>
          <t>No Critical Data</t>
        </is>
      </c>
      <c r="F924" s="12" t="inlineStr">
        <is>
          <t>PASS</t>
        </is>
      </c>
      <c r="G924" t="inlineStr">
        <is>
          <t>BIM-core.Criticality</t>
        </is>
      </c>
      <c r="H924" s="6" t="n"/>
    </row>
    <row r="925">
      <c r="A925" t="inlineStr">
        <is>
          <t>NCI_CLIENT_PARAMETER_VALUE_SET</t>
        </is>
      </c>
      <c r="B925" t="inlineStr">
        <is>
          <t>Entity</t>
        </is>
      </c>
      <c r="C925" t="inlineStr">
        <is>
          <t>DataCategory</t>
        </is>
      </c>
      <c r="D925" s="6" t="inlineStr">
        <is>
          <t>Structured</t>
        </is>
      </c>
      <c r="E925" s="6" t="inlineStr">
        <is>
          <t>Structured</t>
        </is>
      </c>
      <c r="F925" s="12" t="inlineStr">
        <is>
          <t>PASS</t>
        </is>
      </c>
      <c r="G925" t="inlineStr">
        <is>
          <t>BIM-core.DataCategory</t>
        </is>
      </c>
      <c r="H925" s="6" t="n"/>
    </row>
    <row r="926">
      <c r="A926" t="inlineStr">
        <is>
          <t>NCI_CLIENT_PARAMETER_VALUE_SET</t>
        </is>
      </c>
      <c r="B926" t="inlineStr">
        <is>
          <t>Entity</t>
        </is>
      </c>
      <c r="C926" t="inlineStr">
        <is>
          <t>DataConfidentiality</t>
        </is>
      </c>
      <c r="D926" s="6" t="inlineStr">
        <is>
          <t>Internal</t>
        </is>
      </c>
      <c r="E926" s="6" t="inlineStr">
        <is>
          <t>Internal</t>
        </is>
      </c>
      <c r="F926" s="12" t="inlineStr">
        <is>
          <t>PASS</t>
        </is>
      </c>
      <c r="G926" t="inlineStr">
        <is>
          <t>BIM-core.DataConfidentiality</t>
        </is>
      </c>
      <c r="H926" s="6" t="n"/>
    </row>
    <row r="927">
      <c r="A927" t="inlineStr">
        <is>
          <t>NCI_CLIENT_PARAMETER_VALUE_SET</t>
        </is>
      </c>
      <c r="B927" t="inlineStr">
        <is>
          <t>Entity</t>
        </is>
      </c>
      <c r="C927" t="inlineStr">
        <is>
          <t>DesignStatus</t>
        </is>
      </c>
      <c r="D927" s="6" t="inlineStr">
        <is>
          <t>Approved</t>
        </is>
      </c>
      <c r="E927" s="6" t="inlineStr">
        <is>
          <t>Approved</t>
        </is>
      </c>
      <c r="F927" s="12" t="inlineStr">
        <is>
          <t>PASS</t>
        </is>
      </c>
      <c r="G927" t="inlineStr">
        <is>
          <t>BIM-core.DesignStatus</t>
        </is>
      </c>
      <c r="H927" s="6" t="n"/>
    </row>
    <row r="928">
      <c r="A928" t="inlineStr">
        <is>
          <t>NCI_CLIENT_PARAMETER_VALUE_SET</t>
        </is>
      </c>
      <c r="B928" t="inlineStr">
        <is>
          <t>Entity</t>
        </is>
      </c>
      <c r="C928" t="inlineStr">
        <is>
          <t>EntityCategory</t>
        </is>
      </c>
      <c r="D928" s="6" t="inlineStr">
        <is>
          <t>Intersection</t>
        </is>
      </c>
      <c r="E928" s="6" t="inlineStr">
        <is>
          <t>Intersection</t>
        </is>
      </c>
      <c r="F928" s="12" t="inlineStr">
        <is>
          <t>PASS</t>
        </is>
      </c>
      <c r="G928" t="inlineStr">
        <is>
          <t>BIM-core.EntityCategory</t>
        </is>
      </c>
      <c r="H928" s="6" t="n"/>
    </row>
    <row r="929">
      <c r="A929" t="inlineStr">
        <is>
          <t>NCI_CLIENT_PARAMETER_VALUE_SET</t>
        </is>
      </c>
      <c r="B929" t="inlineStr">
        <is>
          <t>Entity</t>
        </is>
      </c>
      <c r="C929" t="inlineStr">
        <is>
          <t>EntityPersonalData</t>
        </is>
      </c>
      <c r="D929" s="6" t="inlineStr">
        <is>
          <t>No Personal Data</t>
        </is>
      </c>
      <c r="E929" s="6" t="inlineStr">
        <is>
          <t>No Personal Data</t>
        </is>
      </c>
      <c r="F929" s="12" t="inlineStr">
        <is>
          <t>PASS</t>
        </is>
      </c>
      <c r="G929" t="inlineStr">
        <is>
          <t>BIM-core.EntityPersonalData</t>
        </is>
      </c>
      <c r="H929" s="6" t="n"/>
    </row>
    <row r="930">
      <c r="A930" t="inlineStr">
        <is>
          <t>NCI_CLIENT_PARAMETER_VALUE_SET</t>
        </is>
      </c>
      <c r="B930" t="inlineStr">
        <is>
          <t>Entity</t>
        </is>
      </c>
      <c r="C930" t="inlineStr">
        <is>
          <t>FinancialPersonalData</t>
        </is>
      </c>
      <c r="D930" s="6" t="inlineStr">
        <is>
          <t>No Financial Personal Data</t>
        </is>
      </c>
      <c r="E930" s="6" t="inlineStr">
        <is>
          <t>No Financial Personal Data</t>
        </is>
      </c>
      <c r="F930" s="12" t="inlineStr">
        <is>
          <t>PASS</t>
        </is>
      </c>
      <c r="G930" t="inlineStr">
        <is>
          <t>BIM-core.FinancialPersonalData</t>
        </is>
      </c>
      <c r="H930" s="6" t="n"/>
    </row>
    <row r="931">
      <c r="A931" t="inlineStr">
        <is>
          <t>NCI_CLIENT_PARAMETER_VALUE_SET</t>
        </is>
      </c>
      <c r="B931" t="inlineStr">
        <is>
          <t>Entity</t>
        </is>
      </c>
      <c r="C931" t="inlineStr">
        <is>
          <t>MTED_EDaM_Mapping_Note</t>
        </is>
      </c>
      <c r="D931" s="6" t="inlineStr">
        <is>
          <t>{\rtf1\ansi\ansicpg1252\deff0\nouicompat\deflang2057{\fonttbl{\f0\fnil\fcharset0 Times New Roman;}}</t>
        </is>
      </c>
      <c r="E931" s="6" t="inlineStr">
        <is>
          <t>{\rtf1\ansi\ansicpg1252\deff0\nouicompat\deflang2057{\fonttbl{\f0\fnil\fcharset0 Times New Roman;}}</t>
        </is>
      </c>
      <c r="F931" s="12" t="inlineStr">
        <is>
          <t>PASS</t>
        </is>
      </c>
      <c r="G931" t="inlineStr">
        <is>
          <t>BIM-core.MTED_EDaM_Mapping_Note</t>
        </is>
      </c>
      <c r="H931" s="6" t="n"/>
    </row>
    <row r="932">
      <c r="A932" t="inlineStr">
        <is>
          <t>NCI_CLIENT_PARAMETER_VALUE_SET</t>
        </is>
      </c>
      <c r="B932" t="inlineStr">
        <is>
          <t>Entity</t>
        </is>
      </c>
      <c r="C932" t="inlineStr">
        <is>
          <t>MTED_Encryption_Required</t>
        </is>
      </c>
      <c r="D932" s="6" t="inlineStr">
        <is>
          <t>false</t>
        </is>
      </c>
      <c r="E932" s="6" t="inlineStr">
        <is>
          <t>false</t>
        </is>
      </c>
      <c r="F932" s="12" t="inlineStr">
        <is>
          <t>PASS</t>
        </is>
      </c>
      <c r="G932" t="inlineStr">
        <is>
          <t>SHL_LDM_EntityPropertyExtension.MTED_Encryption_Required</t>
        </is>
      </c>
      <c r="H932" s="6" t="n"/>
    </row>
    <row r="933">
      <c r="A933" t="inlineStr">
        <is>
          <t>NCI_CLIENT_PARAMETER_VALUE_SET</t>
        </is>
      </c>
      <c r="B933" t="inlineStr">
        <is>
          <t>Entity</t>
        </is>
      </c>
      <c r="C933" t="inlineStr">
        <is>
          <t>MappingLevel</t>
        </is>
      </c>
      <c r="D933" s="6" t="inlineStr">
        <is>
          <t>Application Specific</t>
        </is>
      </c>
      <c r="E933" s="6" t="inlineStr">
        <is>
          <t>Application Specific</t>
        </is>
      </c>
      <c r="F933" s="12" t="inlineStr">
        <is>
          <t>PASS</t>
        </is>
      </c>
      <c r="G933" t="inlineStr">
        <is>
          <t>BIM-core.MappingLevel</t>
        </is>
      </c>
      <c r="H933" s="6" t="n"/>
    </row>
    <row r="934">
      <c r="A934" t="inlineStr">
        <is>
          <t>NCI_CLIENT_PARAMETER_VALUE_SET</t>
        </is>
      </c>
      <c r="B934" t="inlineStr">
        <is>
          <t>Entity</t>
        </is>
      </c>
      <c r="C934" t="inlineStr">
        <is>
          <t>PD_ObjectID</t>
        </is>
      </c>
      <c r="D934" s="6" t="inlineStr">
        <is>
          <t>EAC84B96-83C8-4236-A663-B56CDE3D8EA4</t>
        </is>
      </c>
      <c r="E934" s="6" t="inlineStr">
        <is>
          <t>EAC84B96-83C8-4236-A663-B56CDE3D8EA4</t>
        </is>
      </c>
      <c r="F934" s="12" t="inlineStr">
        <is>
          <t>PASS</t>
        </is>
      </c>
      <c r="H934" s="6" t="n"/>
    </row>
    <row r="935">
      <c r="A935" t="inlineStr">
        <is>
          <t>NCI_CLIENT_PARAMETER_VALUE_SET</t>
        </is>
      </c>
      <c r="B935" t="inlineStr">
        <is>
          <t>Entity</t>
        </is>
      </c>
      <c r="C935" t="inlineStr">
        <is>
          <t>PD_SourceExtraction</t>
        </is>
      </c>
      <c r="D935" s="6" t="inlineStr">
        <is>
          <t>46603045</t>
        </is>
      </c>
      <c r="E935" s="6" t="inlineStr">
        <is>
          <t>46603045</t>
        </is>
      </c>
      <c r="F935" s="12" t="inlineStr">
        <is>
          <t>PASS</t>
        </is>
      </c>
      <c r="H935" s="6" t="n"/>
    </row>
    <row r="936">
      <c r="A936" t="inlineStr">
        <is>
          <t>NCI_CLIENT_PARAMETER_VALUE_SET</t>
        </is>
      </c>
      <c r="B936" t="inlineStr">
        <is>
          <t>Entity</t>
        </is>
      </c>
      <c r="C936" t="inlineStr">
        <is>
          <t>PD_SourceModel</t>
        </is>
      </c>
      <c r="D936" s="6" t="inlineStr">
        <is>
          <t>05_Carbon_Calculator</t>
        </is>
      </c>
      <c r="E936" s="6" t="inlineStr">
        <is>
          <t>05_Carbon_Calculator</t>
        </is>
      </c>
      <c r="F936" s="12" t="inlineStr">
        <is>
          <t>PASS</t>
        </is>
      </c>
      <c r="H936" s="6" t="n"/>
    </row>
    <row r="937">
      <c r="A937" t="inlineStr">
        <is>
          <t>NCI_CLIENT_PARAMETER_VALUE_SET</t>
        </is>
      </c>
      <c r="B937" t="inlineStr">
        <is>
          <t>Entity</t>
        </is>
      </c>
      <c r="C937" t="inlineStr">
        <is>
          <t>SensitivePersonalData</t>
        </is>
      </c>
      <c r="D937" s="6" t="inlineStr">
        <is>
          <t>No Sensitive Personal Data</t>
        </is>
      </c>
      <c r="E937" s="6" t="inlineStr">
        <is>
          <t>No Sensitive Personal Data</t>
        </is>
      </c>
      <c r="F937" s="12" t="inlineStr">
        <is>
          <t>PASS</t>
        </is>
      </c>
      <c r="G937" t="inlineStr">
        <is>
          <t>BIM-core.SensitivePersonalData</t>
        </is>
      </c>
      <c r="H937" s="6" t="n"/>
    </row>
    <row r="938">
      <c r="A938" t="inlineStr">
        <is>
          <t>NCI_CLIENT_PRODUCT</t>
        </is>
      </c>
      <c r="B938" t="inlineStr">
        <is>
          <t>Entity</t>
        </is>
      </c>
      <c r="C938" t="inlineStr">
        <is>
          <t>CommerciallySensitiveInformation</t>
        </is>
      </c>
      <c r="D938" s="6" t="inlineStr">
        <is>
          <t>No Commercially Sensitive Information</t>
        </is>
      </c>
      <c r="E938" s="6" t="inlineStr">
        <is>
          <t>No Commercially Sensitive Information</t>
        </is>
      </c>
      <c r="F938" s="12" t="inlineStr">
        <is>
          <t>PASS</t>
        </is>
      </c>
      <c r="G938" t="inlineStr">
        <is>
          <t>BIM-core.CommerciallySensitiveInformation</t>
        </is>
      </c>
      <c r="H938" s="6" t="n"/>
    </row>
    <row r="939">
      <c r="A939" t="inlineStr">
        <is>
          <t>NCI_CLIENT_PRODUCT</t>
        </is>
      </c>
      <c r="B939" t="inlineStr">
        <is>
          <t>Entity</t>
        </is>
      </c>
      <c r="C939" t="inlineStr">
        <is>
          <t>Criticality</t>
        </is>
      </c>
      <c r="D939" s="6" t="inlineStr">
        <is>
          <t>No Critical Data</t>
        </is>
      </c>
      <c r="E939" s="6" t="inlineStr">
        <is>
          <t>No Critical Data</t>
        </is>
      </c>
      <c r="F939" s="12" t="inlineStr">
        <is>
          <t>PASS</t>
        </is>
      </c>
      <c r="G939" t="inlineStr">
        <is>
          <t>BIM-core.Criticality</t>
        </is>
      </c>
      <c r="H939" s="6" t="n"/>
    </row>
    <row r="940">
      <c r="A940" t="inlineStr">
        <is>
          <t>NCI_CLIENT_PRODUCT</t>
        </is>
      </c>
      <c r="B940" t="inlineStr">
        <is>
          <t>Entity</t>
        </is>
      </c>
      <c r="C940" t="inlineStr">
        <is>
          <t>DataCategory</t>
        </is>
      </c>
      <c r="D940" s="6" t="inlineStr">
        <is>
          <t>Structured</t>
        </is>
      </c>
      <c r="E940" s="6" t="inlineStr">
        <is>
          <t>Structured</t>
        </is>
      </c>
      <c r="F940" s="12" t="inlineStr">
        <is>
          <t>PASS</t>
        </is>
      </c>
      <c r="G940" t="inlineStr">
        <is>
          <t>BIM-core.DataCategory</t>
        </is>
      </c>
      <c r="H940" s="6" t="n"/>
    </row>
    <row r="941">
      <c r="A941" t="inlineStr">
        <is>
          <t>NCI_CLIENT_PRODUCT</t>
        </is>
      </c>
      <c r="B941" t="inlineStr">
        <is>
          <t>Entity</t>
        </is>
      </c>
      <c r="C941" t="inlineStr">
        <is>
          <t>DataConfidentiality</t>
        </is>
      </c>
      <c r="D941" s="6" t="inlineStr">
        <is>
          <t>Internal</t>
        </is>
      </c>
      <c r="E941" s="6" t="inlineStr">
        <is>
          <t>Internal</t>
        </is>
      </c>
      <c r="F941" s="12" t="inlineStr">
        <is>
          <t>PASS</t>
        </is>
      </c>
      <c r="G941" t="inlineStr">
        <is>
          <t>BIM-core.DataConfidentiality</t>
        </is>
      </c>
      <c r="H941" s="6" t="n"/>
    </row>
    <row r="942">
      <c r="A942" t="inlineStr">
        <is>
          <t>NCI_CLIENT_PRODUCT</t>
        </is>
      </c>
      <c r="B942" t="inlineStr">
        <is>
          <t>Entity</t>
        </is>
      </c>
      <c r="C942" t="inlineStr">
        <is>
          <t>DesignStatus</t>
        </is>
      </c>
      <c r="D942" s="6" t="inlineStr">
        <is>
          <t>Approved</t>
        </is>
      </c>
      <c r="E942" s="6" t="inlineStr">
        <is>
          <t>Approved</t>
        </is>
      </c>
      <c r="F942" s="12" t="inlineStr">
        <is>
          <t>PASS</t>
        </is>
      </c>
      <c r="G942" t="inlineStr">
        <is>
          <t>BIM-core.DesignStatus</t>
        </is>
      </c>
      <c r="H942" s="6" t="n"/>
    </row>
    <row r="943">
      <c r="A943" t="inlineStr">
        <is>
          <t>NCI_CLIENT_PRODUCT</t>
        </is>
      </c>
      <c r="B943" t="inlineStr">
        <is>
          <t>Entity</t>
        </is>
      </c>
      <c r="C943" t="inlineStr">
        <is>
          <t>EntityCategory</t>
        </is>
      </c>
      <c r="D943" s="6" t="inlineStr">
        <is>
          <t>Transaction</t>
        </is>
      </c>
      <c r="E943" s="6" t="inlineStr">
        <is>
          <t>Transaction</t>
        </is>
      </c>
      <c r="F943" s="12" t="inlineStr">
        <is>
          <t>PASS</t>
        </is>
      </c>
      <c r="G943" t="inlineStr">
        <is>
          <t>BIM-core.EntityCategory</t>
        </is>
      </c>
      <c r="H943" s="6" t="n"/>
    </row>
    <row r="944">
      <c r="A944" t="inlineStr">
        <is>
          <t>NCI_CLIENT_PRODUCT</t>
        </is>
      </c>
      <c r="B944" t="inlineStr">
        <is>
          <t>Entity</t>
        </is>
      </c>
      <c r="C944" t="inlineStr">
        <is>
          <t>EntityPersonalData</t>
        </is>
      </c>
      <c r="D944" s="6" t="inlineStr">
        <is>
          <t>No Personal Data</t>
        </is>
      </c>
      <c r="E944" s="6" t="inlineStr">
        <is>
          <t>No Personal Data</t>
        </is>
      </c>
      <c r="F944" s="12" t="inlineStr">
        <is>
          <t>PASS</t>
        </is>
      </c>
      <c r="G944" t="inlineStr">
        <is>
          <t>BIM-core.EntityPersonalData</t>
        </is>
      </c>
      <c r="H944" s="6" t="n"/>
    </row>
    <row r="945">
      <c r="A945" t="inlineStr">
        <is>
          <t>NCI_CLIENT_PRODUCT</t>
        </is>
      </c>
      <c r="B945" t="inlineStr">
        <is>
          <t>Entity</t>
        </is>
      </c>
      <c r="C945" t="inlineStr">
        <is>
          <t>FinancialPersonalData</t>
        </is>
      </c>
      <c r="D945" s="6" t="inlineStr">
        <is>
          <t>No Financial Personal Data</t>
        </is>
      </c>
      <c r="E945" s="6" t="inlineStr">
        <is>
          <t>No Financial Personal Data</t>
        </is>
      </c>
      <c r="F945" s="12" t="inlineStr">
        <is>
          <t>PASS</t>
        </is>
      </c>
      <c r="G945" t="inlineStr">
        <is>
          <t>BIM-core.FinancialPersonalData</t>
        </is>
      </c>
      <c r="H945" s="6" t="n"/>
    </row>
    <row r="946">
      <c r="A946" t="inlineStr">
        <is>
          <t>NCI_CLIENT_PRODUCT</t>
        </is>
      </c>
      <c r="B946" t="inlineStr">
        <is>
          <t>Entity</t>
        </is>
      </c>
      <c r="C946" t="inlineStr">
        <is>
          <t>MTED_EDaM_Mapping_Note</t>
        </is>
      </c>
      <c r="D946" s="6" t="inlineStr">
        <is>
          <t>{\rtf1\ansi\ansicpg1252\deff0\nouicompat\deflang2057{\fonttbl{\f0\fnil\fcharset0 Times New Roman;}}</t>
        </is>
      </c>
      <c r="E946" s="6" t="inlineStr">
        <is>
          <t>{\rtf1\ansi\ansicpg1252\deff0\nouicompat\deflang2057{\fonttbl{\f0\fnil\fcharset0 Times New Roman;}}</t>
        </is>
      </c>
      <c r="F946" s="12" t="inlineStr">
        <is>
          <t>PASS</t>
        </is>
      </c>
      <c r="G946" t="inlineStr">
        <is>
          <t>BIM-core.MTED_EDaM_Mapping_Note</t>
        </is>
      </c>
      <c r="H946" s="6" t="n"/>
    </row>
    <row r="947">
      <c r="A947" t="inlineStr">
        <is>
          <t>NCI_CLIENT_PRODUCT</t>
        </is>
      </c>
      <c r="B947" t="inlineStr">
        <is>
          <t>Entity</t>
        </is>
      </c>
      <c r="C947" t="inlineStr">
        <is>
          <t>MappingLevel</t>
        </is>
      </c>
      <c r="D947" s="6" t="inlineStr">
        <is>
          <t>Application Specific</t>
        </is>
      </c>
      <c r="E947" s="6" t="inlineStr">
        <is>
          <t>Application Specific</t>
        </is>
      </c>
      <c r="F947" s="12" t="inlineStr">
        <is>
          <t>PASS</t>
        </is>
      </c>
      <c r="G947" t="inlineStr">
        <is>
          <t>BIM-core.MappingLevel</t>
        </is>
      </c>
      <c r="H947" s="6" t="n"/>
    </row>
    <row r="948">
      <c r="A948" t="inlineStr">
        <is>
          <t>NCI_CLIENT_PRODUCT</t>
        </is>
      </c>
      <c r="B948" t="inlineStr">
        <is>
          <t>Entity</t>
        </is>
      </c>
      <c r="C948" t="inlineStr">
        <is>
          <t>PD_ObjectID</t>
        </is>
      </c>
      <c r="D948" s="6" t="inlineStr">
        <is>
          <t>104D5916-89B1-44F4-8BBF-84806D40B022</t>
        </is>
      </c>
      <c r="E948" s="6" t="inlineStr">
        <is>
          <t>104D5916-89B1-44F4-8BBF-84806D40B022</t>
        </is>
      </c>
      <c r="F948" s="12" t="inlineStr">
        <is>
          <t>PASS</t>
        </is>
      </c>
      <c r="H948" s="6" t="n"/>
    </row>
    <row r="949">
      <c r="A949" t="inlineStr">
        <is>
          <t>NCI_CLIENT_PRODUCT</t>
        </is>
      </c>
      <c r="B949" t="inlineStr">
        <is>
          <t>Entity</t>
        </is>
      </c>
      <c r="C949" t="inlineStr">
        <is>
          <t>PD_SourceExtraction</t>
        </is>
      </c>
      <c r="D949" s="6" t="inlineStr">
        <is>
          <t>46603045</t>
        </is>
      </c>
      <c r="E949" s="6" t="inlineStr">
        <is>
          <t>46603045</t>
        </is>
      </c>
      <c r="F949" s="12" t="inlineStr">
        <is>
          <t>PASS</t>
        </is>
      </c>
      <c r="H949" s="6" t="n"/>
    </row>
    <row r="950">
      <c r="A950" t="inlineStr">
        <is>
          <t>NCI_CLIENT_PRODUCT</t>
        </is>
      </c>
      <c r="B950" t="inlineStr">
        <is>
          <t>Entity</t>
        </is>
      </c>
      <c r="C950" t="inlineStr">
        <is>
          <t>PD_SourceModel</t>
        </is>
      </c>
      <c r="D950" s="6" t="inlineStr">
        <is>
          <t>05_Carbon_Calculator</t>
        </is>
      </c>
      <c r="E950" s="6" t="inlineStr">
        <is>
          <t>05_Carbon_Calculator</t>
        </is>
      </c>
      <c r="F950" s="12" t="inlineStr">
        <is>
          <t>PASS</t>
        </is>
      </c>
      <c r="H950" s="6" t="n"/>
    </row>
    <row r="951">
      <c r="A951" t="inlineStr">
        <is>
          <t>NCI_CLIENT_PRODUCT</t>
        </is>
      </c>
      <c r="B951" t="inlineStr">
        <is>
          <t>Entity</t>
        </is>
      </c>
      <c r="C951" t="inlineStr">
        <is>
          <t>SensitivePersonalData</t>
        </is>
      </c>
      <c r="D951" s="6" t="inlineStr">
        <is>
          <t>No Sensitive Personal Data</t>
        </is>
      </c>
      <c r="E951" s="6" t="inlineStr">
        <is>
          <t>No Sensitive Personal Data</t>
        </is>
      </c>
      <c r="F951" s="12" t="inlineStr">
        <is>
          <t>PASS</t>
        </is>
      </c>
      <c r="G951" t="inlineStr">
        <is>
          <t>BIM-core.SensitivePersonalData</t>
        </is>
      </c>
      <c r="H951" s="6" t="n"/>
    </row>
    <row r="952">
      <c r="A952" t="inlineStr">
        <is>
          <t>NCI_CLIENT_PRODUCT_FACTOR</t>
        </is>
      </c>
      <c r="B952" t="inlineStr">
        <is>
          <t>Entity</t>
        </is>
      </c>
      <c r="C952" t="inlineStr">
        <is>
          <t>CSI</t>
        </is>
      </c>
      <c r="D952" s="6" t="inlineStr">
        <is>
          <t>false</t>
        </is>
      </c>
      <c r="E952" s="6" t="inlineStr">
        <is>
          <t>false</t>
        </is>
      </c>
      <c r="F952" s="12" t="inlineStr">
        <is>
          <t>PASS</t>
        </is>
      </c>
      <c r="G952" t="inlineStr">
        <is>
          <t>SHL_LDM_EntityPropertyExtension.CSI</t>
        </is>
      </c>
      <c r="H952" s="6" t="n"/>
    </row>
    <row r="953">
      <c r="A953" t="inlineStr">
        <is>
          <t>NCI_CLIENT_PRODUCT_FACTOR</t>
        </is>
      </c>
      <c r="B953" t="inlineStr">
        <is>
          <t>Entity</t>
        </is>
      </c>
      <c r="C953" t="inlineStr">
        <is>
          <t>CommerciallySensitiveInformation</t>
        </is>
      </c>
      <c r="D953" s="6" t="inlineStr">
        <is>
          <t>No Commercially Sensitive Information</t>
        </is>
      </c>
      <c r="E953" s="6" t="inlineStr">
        <is>
          <t>No Commercially Sensitive Information</t>
        </is>
      </c>
      <c r="F953" s="12" t="inlineStr">
        <is>
          <t>PASS</t>
        </is>
      </c>
      <c r="G953" t="inlineStr">
        <is>
          <t>BIM-core.CommerciallySensitiveInformation</t>
        </is>
      </c>
      <c r="H953" s="6" t="n"/>
    </row>
    <row r="954">
      <c r="A954" t="inlineStr">
        <is>
          <t>NCI_CLIENT_PRODUCT_FACTOR</t>
        </is>
      </c>
      <c r="B954" t="inlineStr">
        <is>
          <t>Entity</t>
        </is>
      </c>
      <c r="C954" t="inlineStr">
        <is>
          <t>Criticality</t>
        </is>
      </c>
      <c r="D954" s="6" t="inlineStr">
        <is>
          <t>No Critical Data</t>
        </is>
      </c>
      <c r="E954" s="6" t="inlineStr">
        <is>
          <t>No Critical Data</t>
        </is>
      </c>
      <c r="F954" s="12" t="inlineStr">
        <is>
          <t>PASS</t>
        </is>
      </c>
      <c r="G954" t="inlineStr">
        <is>
          <t>BIM-core.Criticality</t>
        </is>
      </c>
      <c r="H954" s="6" t="n"/>
    </row>
    <row r="955">
      <c r="A955" t="inlineStr">
        <is>
          <t>NCI_CLIENT_PRODUCT_FACTOR</t>
        </is>
      </c>
      <c r="B955" t="inlineStr">
        <is>
          <t>Entity</t>
        </is>
      </c>
      <c r="C955" t="inlineStr">
        <is>
          <t>DataCategory</t>
        </is>
      </c>
      <c r="D955" s="6" t="inlineStr">
        <is>
          <t>Structured</t>
        </is>
      </c>
      <c r="E955" s="6" t="inlineStr">
        <is>
          <t>Structured</t>
        </is>
      </c>
      <c r="F955" s="12" t="inlineStr">
        <is>
          <t>PASS</t>
        </is>
      </c>
      <c r="G955" t="inlineStr">
        <is>
          <t>BIM-core.DataCategory</t>
        </is>
      </c>
      <c r="H955" s="6" t="n"/>
    </row>
    <row r="956">
      <c r="A956" t="inlineStr">
        <is>
          <t>NCI_CLIENT_PRODUCT_FACTOR</t>
        </is>
      </c>
      <c r="B956" t="inlineStr">
        <is>
          <t>Entity</t>
        </is>
      </c>
      <c r="C956" t="inlineStr">
        <is>
          <t>DataConfidentiality</t>
        </is>
      </c>
      <c r="D956" s="6" t="inlineStr">
        <is>
          <t>Internal</t>
        </is>
      </c>
      <c r="E956" s="6" t="inlineStr">
        <is>
          <t>Internal</t>
        </is>
      </c>
      <c r="F956" s="12" t="inlineStr">
        <is>
          <t>PASS</t>
        </is>
      </c>
      <c r="G956" t="inlineStr">
        <is>
          <t>BIM-core.DataConfidentiality</t>
        </is>
      </c>
      <c r="H956" s="6" t="n"/>
    </row>
    <row r="957">
      <c r="A957" t="inlineStr">
        <is>
          <t>NCI_CLIENT_PRODUCT_FACTOR</t>
        </is>
      </c>
      <c r="B957" t="inlineStr">
        <is>
          <t>Entity</t>
        </is>
      </c>
      <c r="C957" t="inlineStr">
        <is>
          <t>DesignStatus</t>
        </is>
      </c>
      <c r="D957" s="6" t="inlineStr">
        <is>
          <t>Approved</t>
        </is>
      </c>
      <c r="E957" s="6" t="inlineStr">
        <is>
          <t>Approved</t>
        </is>
      </c>
      <c r="F957" s="12" t="inlineStr">
        <is>
          <t>PASS</t>
        </is>
      </c>
      <c r="G957" t="inlineStr">
        <is>
          <t>BIM-core.DesignStatus</t>
        </is>
      </c>
      <c r="H957" s="6" t="n"/>
    </row>
    <row r="958">
      <c r="A958" t="inlineStr">
        <is>
          <t>NCI_CLIENT_PRODUCT_FACTOR</t>
        </is>
      </c>
      <c r="B958" t="inlineStr">
        <is>
          <t>Entity</t>
        </is>
      </c>
      <c r="C958" t="inlineStr">
        <is>
          <t>EntityCategory</t>
        </is>
      </c>
      <c r="D958" s="6" t="inlineStr">
        <is>
          <t>Master</t>
        </is>
      </c>
      <c r="E958" s="6" t="inlineStr">
        <is>
          <t>Master</t>
        </is>
      </c>
      <c r="F958" s="12" t="inlineStr">
        <is>
          <t>PASS</t>
        </is>
      </c>
      <c r="G958" t="inlineStr">
        <is>
          <t>BIM-core.EntityCategory</t>
        </is>
      </c>
      <c r="H958" s="6" t="n"/>
    </row>
    <row r="959">
      <c r="A959" t="inlineStr">
        <is>
          <t>NCI_CLIENT_PRODUCT_FACTOR</t>
        </is>
      </c>
      <c r="B959" t="inlineStr">
        <is>
          <t>Entity</t>
        </is>
      </c>
      <c r="C959" t="inlineStr">
        <is>
          <t>EntityPersonalData</t>
        </is>
      </c>
      <c r="D959" s="6" t="inlineStr">
        <is>
          <t>No Personal Data</t>
        </is>
      </c>
      <c r="E959" s="6" t="inlineStr">
        <is>
          <t>No Personal Data</t>
        </is>
      </c>
      <c r="F959" s="12" t="inlineStr">
        <is>
          <t>PASS</t>
        </is>
      </c>
      <c r="G959" t="inlineStr">
        <is>
          <t>BIM-core.EntityPersonalData</t>
        </is>
      </c>
      <c r="H959" s="6" t="n"/>
    </row>
    <row r="960">
      <c r="A960" t="inlineStr">
        <is>
          <t>NCI_CLIENT_PRODUCT_FACTOR</t>
        </is>
      </c>
      <c r="B960" t="inlineStr">
        <is>
          <t>Entity</t>
        </is>
      </c>
      <c r="C960" t="inlineStr">
        <is>
          <t>FinancialPersonalData</t>
        </is>
      </c>
      <c r="D960" s="6" t="inlineStr">
        <is>
          <t>No Financial Personal Data</t>
        </is>
      </c>
      <c r="E960" s="6" t="inlineStr">
        <is>
          <t>No Financial Personal Data</t>
        </is>
      </c>
      <c r="F960" s="12" t="inlineStr">
        <is>
          <t>PASS</t>
        </is>
      </c>
      <c r="G960" t="inlineStr">
        <is>
          <t>BIM-core.FinancialPersonalData</t>
        </is>
      </c>
      <c r="H960" s="6" t="n"/>
    </row>
    <row r="961">
      <c r="A961" t="inlineStr">
        <is>
          <t>NCI_CLIENT_PRODUCT_FACTOR</t>
        </is>
      </c>
      <c r="B961" t="inlineStr">
        <is>
          <t>Entity</t>
        </is>
      </c>
      <c r="C961" t="inlineStr">
        <is>
          <t>MTED_EDaM_Mapping_Note</t>
        </is>
      </c>
      <c r="D961" s="6" t="inlineStr">
        <is>
          <t>{\rtf1\ansi\ansicpg1252\deff0\nouicompat\deflang2057{\fonttbl{\f0\fnil\fcharset0 Times New Roman;}}</t>
        </is>
      </c>
      <c r="E961" s="6" t="inlineStr">
        <is>
          <t>{\rtf1\ansi\ansicpg1252\deff0\nouicompat\deflang2057{\fonttbl{\f0\fnil\fcharset0 Times New Roman;}}</t>
        </is>
      </c>
      <c r="F961" s="12" t="inlineStr">
        <is>
          <t>PASS</t>
        </is>
      </c>
      <c r="G961" t="inlineStr">
        <is>
          <t>BIM-core.MTED_EDaM_Mapping_Note</t>
        </is>
      </c>
      <c r="H961" s="6" t="n"/>
    </row>
    <row r="962">
      <c r="A962" t="inlineStr">
        <is>
          <t>NCI_CLIENT_PRODUCT_FACTOR</t>
        </is>
      </c>
      <c r="B962" t="inlineStr">
        <is>
          <t>Entity</t>
        </is>
      </c>
      <c r="C962" t="inlineStr">
        <is>
          <t>MTED_Encryption_Required</t>
        </is>
      </c>
      <c r="D962" s="6" t="inlineStr">
        <is>
          <t>false</t>
        </is>
      </c>
      <c r="E962" s="6" t="inlineStr">
        <is>
          <t>false</t>
        </is>
      </c>
      <c r="F962" s="12" t="inlineStr">
        <is>
          <t>PASS</t>
        </is>
      </c>
      <c r="G962" t="inlineStr">
        <is>
          <t>SHL_LDM_EntityPropertyExtension.MTED_Encryption_Required</t>
        </is>
      </c>
      <c r="H962" s="6" t="n"/>
    </row>
    <row r="963">
      <c r="A963" t="inlineStr">
        <is>
          <t>NCI_CLIENT_PRODUCT_FACTOR</t>
        </is>
      </c>
      <c r="B963" t="inlineStr">
        <is>
          <t>Entity</t>
        </is>
      </c>
      <c r="C963" t="inlineStr">
        <is>
          <t>MappingLevel</t>
        </is>
      </c>
      <c r="D963" s="6" t="inlineStr">
        <is>
          <t>Application Specific</t>
        </is>
      </c>
      <c r="E963" s="6" t="inlineStr">
        <is>
          <t>Application Specific</t>
        </is>
      </c>
      <c r="F963" s="12" t="inlineStr">
        <is>
          <t>PASS</t>
        </is>
      </c>
      <c r="G963" t="inlineStr">
        <is>
          <t>BIM-core.MappingLevel</t>
        </is>
      </c>
      <c r="H963" s="6" t="n"/>
    </row>
    <row r="964">
      <c r="A964" t="inlineStr">
        <is>
          <t>NCI_CLIENT_PRODUCT_FACTOR</t>
        </is>
      </c>
      <c r="B964" t="inlineStr">
        <is>
          <t>Entity</t>
        </is>
      </c>
      <c r="C964" t="inlineStr">
        <is>
          <t>PD_ObjectID</t>
        </is>
      </c>
      <c r="D964" s="6" t="inlineStr">
        <is>
          <t>3D3DF1EF-B058-4E4A-9950-BE54724F244D</t>
        </is>
      </c>
      <c r="E964" s="6" t="inlineStr">
        <is>
          <t>3D3DF1EF-B058-4E4A-9950-BE54724F244D</t>
        </is>
      </c>
      <c r="F964" s="12" t="inlineStr">
        <is>
          <t>PASS</t>
        </is>
      </c>
      <c r="H964" s="6" t="n"/>
    </row>
    <row r="965">
      <c r="A965" t="inlineStr">
        <is>
          <t>NCI_CLIENT_PRODUCT_FACTOR</t>
        </is>
      </c>
      <c r="B965" t="inlineStr">
        <is>
          <t>Entity</t>
        </is>
      </c>
      <c r="C965" t="inlineStr">
        <is>
          <t>PD_SourceExtraction</t>
        </is>
      </c>
      <c r="D965" s="6" t="inlineStr">
        <is>
          <t>46603045</t>
        </is>
      </c>
      <c r="E965" s="6" t="inlineStr">
        <is>
          <t>46603045</t>
        </is>
      </c>
      <c r="F965" s="12" t="inlineStr">
        <is>
          <t>PASS</t>
        </is>
      </c>
      <c r="H965" s="6" t="n"/>
    </row>
    <row r="966">
      <c r="A966" t="inlineStr">
        <is>
          <t>NCI_CLIENT_PRODUCT_FACTOR</t>
        </is>
      </c>
      <c r="B966" t="inlineStr">
        <is>
          <t>Entity</t>
        </is>
      </c>
      <c r="C966" t="inlineStr">
        <is>
          <t>PD_SourceModel</t>
        </is>
      </c>
      <c r="D966" s="6" t="inlineStr">
        <is>
          <t>05_Carbon_Calculator</t>
        </is>
      </c>
      <c r="E966" s="6" t="inlineStr">
        <is>
          <t>05_Carbon_Calculator</t>
        </is>
      </c>
      <c r="F966" s="12" t="inlineStr">
        <is>
          <t>PASS</t>
        </is>
      </c>
      <c r="H966" s="6" t="n"/>
    </row>
    <row r="967">
      <c r="A967" t="inlineStr">
        <is>
          <t>NCI_CLIENT_PRODUCT_FACTOR</t>
        </is>
      </c>
      <c r="B967" t="inlineStr">
        <is>
          <t>Entity</t>
        </is>
      </c>
      <c r="C967" t="inlineStr">
        <is>
          <t>SensitivePersonalData</t>
        </is>
      </c>
      <c r="D967" s="6" t="inlineStr">
        <is>
          <t>No Sensitive Personal Data</t>
        </is>
      </c>
      <c r="E967" s="6" t="inlineStr">
        <is>
          <t>No Sensitive Personal Data</t>
        </is>
      </c>
      <c r="F967" s="12" t="inlineStr">
        <is>
          <t>PASS</t>
        </is>
      </c>
      <c r="G967" t="inlineStr">
        <is>
          <t>BIM-core.SensitivePersonalData</t>
        </is>
      </c>
      <c r="H967" s="6" t="n"/>
    </row>
    <row r="968">
      <c r="A968" t="inlineStr">
        <is>
          <t>NCI_CLIENT_PRODUCT_TYPE</t>
        </is>
      </c>
      <c r="B968" t="inlineStr">
        <is>
          <t>Entity</t>
        </is>
      </c>
      <c r="C968" t="inlineStr">
        <is>
          <t>CSI</t>
        </is>
      </c>
      <c r="D968" s="6" t="inlineStr">
        <is>
          <t>false</t>
        </is>
      </c>
      <c r="E968" s="6" t="inlineStr">
        <is>
          <t>false</t>
        </is>
      </c>
      <c r="F968" s="12" t="inlineStr">
        <is>
          <t>PASS</t>
        </is>
      </c>
      <c r="G968" t="inlineStr">
        <is>
          <t>SHL_LDM_EntityPropertyExtension.CSI</t>
        </is>
      </c>
      <c r="H968" s="6" t="n"/>
    </row>
    <row r="969">
      <c r="A969" t="inlineStr">
        <is>
          <t>NCI_CLIENT_PRODUCT_TYPE</t>
        </is>
      </c>
      <c r="B969" t="inlineStr">
        <is>
          <t>Entity</t>
        </is>
      </c>
      <c r="C969" t="inlineStr">
        <is>
          <t>CommerciallySensitiveInformation</t>
        </is>
      </c>
      <c r="D969" s="6" t="inlineStr">
        <is>
          <t>No Commercially Sensitive Information</t>
        </is>
      </c>
      <c r="E969" s="6" t="inlineStr">
        <is>
          <t>No Commercially Sensitive Information</t>
        </is>
      </c>
      <c r="F969" s="12" t="inlineStr">
        <is>
          <t>PASS</t>
        </is>
      </c>
      <c r="G969" t="inlineStr">
        <is>
          <t>BIM-core.CommerciallySensitiveInformation</t>
        </is>
      </c>
      <c r="H969" s="6" t="n"/>
    </row>
    <row r="970">
      <c r="A970" t="inlineStr">
        <is>
          <t>NCI_CLIENT_PRODUCT_TYPE</t>
        </is>
      </c>
      <c r="B970" t="inlineStr">
        <is>
          <t>Entity</t>
        </is>
      </c>
      <c r="C970" t="inlineStr">
        <is>
          <t>Criticality</t>
        </is>
      </c>
      <c r="D970" s="6" t="inlineStr">
        <is>
          <t>No Critical Data</t>
        </is>
      </c>
      <c r="E970" s="6" t="inlineStr">
        <is>
          <t>No Critical Data</t>
        </is>
      </c>
      <c r="F970" s="12" t="inlineStr">
        <is>
          <t>PASS</t>
        </is>
      </c>
      <c r="G970" t="inlineStr">
        <is>
          <t>BIM-core.Criticality</t>
        </is>
      </c>
      <c r="H970" s="6" t="n"/>
    </row>
    <row r="971">
      <c r="A971" t="inlineStr">
        <is>
          <t>NCI_CLIENT_PRODUCT_TYPE</t>
        </is>
      </c>
      <c r="B971" t="inlineStr">
        <is>
          <t>Entity</t>
        </is>
      </c>
      <c r="C971" t="inlineStr">
        <is>
          <t>DataCategory</t>
        </is>
      </c>
      <c r="D971" s="6" t="inlineStr">
        <is>
          <t>Structured</t>
        </is>
      </c>
      <c r="E971" s="6" t="inlineStr">
        <is>
          <t>Structured</t>
        </is>
      </c>
      <c r="F971" s="12" t="inlineStr">
        <is>
          <t>PASS</t>
        </is>
      </c>
      <c r="G971" t="inlineStr">
        <is>
          <t>BIM-core.DataCategory</t>
        </is>
      </c>
      <c r="H971" s="6" t="n"/>
    </row>
    <row r="972">
      <c r="A972" t="inlineStr">
        <is>
          <t>NCI_CLIENT_PRODUCT_TYPE</t>
        </is>
      </c>
      <c r="B972" t="inlineStr">
        <is>
          <t>Entity</t>
        </is>
      </c>
      <c r="C972" t="inlineStr">
        <is>
          <t>DataConfidentiality</t>
        </is>
      </c>
      <c r="D972" s="6" t="inlineStr">
        <is>
          <t>Internal</t>
        </is>
      </c>
      <c r="E972" s="6" t="inlineStr">
        <is>
          <t>Internal</t>
        </is>
      </c>
      <c r="F972" s="12" t="inlineStr">
        <is>
          <t>PASS</t>
        </is>
      </c>
      <c r="G972" t="inlineStr">
        <is>
          <t>BIM-core.DataConfidentiality</t>
        </is>
      </c>
      <c r="H972" s="6" t="n"/>
    </row>
    <row r="973">
      <c r="A973" t="inlineStr">
        <is>
          <t>NCI_CLIENT_PRODUCT_TYPE</t>
        </is>
      </c>
      <c r="B973" t="inlineStr">
        <is>
          <t>Entity</t>
        </is>
      </c>
      <c r="C973" t="inlineStr">
        <is>
          <t>DesignStatus</t>
        </is>
      </c>
      <c r="D973" s="6" t="inlineStr">
        <is>
          <t>Approved</t>
        </is>
      </c>
      <c r="E973" s="6" t="inlineStr">
        <is>
          <t>Approved</t>
        </is>
      </c>
      <c r="F973" s="12" t="inlineStr">
        <is>
          <t>PASS</t>
        </is>
      </c>
      <c r="G973" t="inlineStr">
        <is>
          <t>BIM-core.DesignStatus</t>
        </is>
      </c>
      <c r="H973" s="6" t="n"/>
    </row>
    <row r="974">
      <c r="A974" t="inlineStr">
        <is>
          <t>NCI_CLIENT_PRODUCT_TYPE</t>
        </is>
      </c>
      <c r="B974" t="inlineStr">
        <is>
          <t>Entity</t>
        </is>
      </c>
      <c r="C974" t="inlineStr">
        <is>
          <t>EntityCategory</t>
        </is>
      </c>
      <c r="D974" s="6" t="inlineStr">
        <is>
          <t>Master</t>
        </is>
      </c>
      <c r="E974" s="6" t="inlineStr">
        <is>
          <t>Master</t>
        </is>
      </c>
      <c r="F974" s="12" t="inlineStr">
        <is>
          <t>PASS</t>
        </is>
      </c>
      <c r="G974" t="inlineStr">
        <is>
          <t>BIM-core.EntityCategory</t>
        </is>
      </c>
      <c r="H974" s="6" t="n"/>
    </row>
    <row r="975">
      <c r="A975" t="inlineStr">
        <is>
          <t>NCI_CLIENT_PRODUCT_TYPE</t>
        </is>
      </c>
      <c r="B975" t="inlineStr">
        <is>
          <t>Entity</t>
        </is>
      </c>
      <c r="C975" t="inlineStr">
        <is>
          <t>EntityPersonalData</t>
        </is>
      </c>
      <c r="D975" s="6" t="inlineStr">
        <is>
          <t>No Personal Data</t>
        </is>
      </c>
      <c r="E975" s="6" t="inlineStr">
        <is>
          <t>No Personal Data</t>
        </is>
      </c>
      <c r="F975" s="12" t="inlineStr">
        <is>
          <t>PASS</t>
        </is>
      </c>
      <c r="G975" t="inlineStr">
        <is>
          <t>BIM-core.EntityPersonalData</t>
        </is>
      </c>
      <c r="H975" s="6" t="n"/>
    </row>
    <row r="976">
      <c r="A976" t="inlineStr">
        <is>
          <t>NCI_CLIENT_PRODUCT_TYPE</t>
        </is>
      </c>
      <c r="B976" t="inlineStr">
        <is>
          <t>Entity</t>
        </is>
      </c>
      <c r="C976" t="inlineStr">
        <is>
          <t>FinancialPersonalData</t>
        </is>
      </c>
      <c r="D976" s="6" t="inlineStr">
        <is>
          <t>No Financial Personal Data</t>
        </is>
      </c>
      <c r="E976" s="6" t="inlineStr">
        <is>
          <t>No Financial Personal Data</t>
        </is>
      </c>
      <c r="F976" s="12" t="inlineStr">
        <is>
          <t>PASS</t>
        </is>
      </c>
      <c r="G976" t="inlineStr">
        <is>
          <t>BIM-core.FinancialPersonalData</t>
        </is>
      </c>
      <c r="H976" s="6" t="n"/>
    </row>
    <row r="977">
      <c r="A977" t="inlineStr">
        <is>
          <t>NCI_CLIENT_PRODUCT_TYPE</t>
        </is>
      </c>
      <c r="B977" t="inlineStr">
        <is>
          <t>Entity</t>
        </is>
      </c>
      <c r="C977" t="inlineStr">
        <is>
          <t>MTED_EDaM_Mapping_Note</t>
        </is>
      </c>
      <c r="D977" s="6" t="inlineStr">
        <is>
          <t>{\rtf1\ansi\ansicpg1252\deff0\nouicompat\deflang2057{\fonttbl{\f0\fnil\fcharset0 Times New Roman;}}</t>
        </is>
      </c>
      <c r="E977" s="6" t="inlineStr">
        <is>
          <t>{\rtf1\ansi\ansicpg1252\deff0\nouicompat\deflang2057{\fonttbl{\f0\fnil\fcharset0 Times New Roman;}}</t>
        </is>
      </c>
      <c r="F977" s="12" t="inlineStr">
        <is>
          <t>PASS</t>
        </is>
      </c>
      <c r="G977" t="inlineStr">
        <is>
          <t>BIM-core.MTED_EDaM_Mapping_Note</t>
        </is>
      </c>
      <c r="H977" s="6" t="n"/>
    </row>
    <row r="978">
      <c r="A978" t="inlineStr">
        <is>
          <t>NCI_CLIENT_PRODUCT_TYPE</t>
        </is>
      </c>
      <c r="B978" t="inlineStr">
        <is>
          <t>Entity</t>
        </is>
      </c>
      <c r="C978" t="inlineStr">
        <is>
          <t>MTED_Encryption_Required</t>
        </is>
      </c>
      <c r="D978" s="6" t="inlineStr">
        <is>
          <t>false</t>
        </is>
      </c>
      <c r="E978" s="6" t="inlineStr">
        <is>
          <t>false</t>
        </is>
      </c>
      <c r="F978" s="12" t="inlineStr">
        <is>
          <t>PASS</t>
        </is>
      </c>
      <c r="G978" t="inlineStr">
        <is>
          <t>SHL_LDM_EntityPropertyExtension.MTED_Encryption_Required</t>
        </is>
      </c>
      <c r="H978" s="6" t="n"/>
    </row>
    <row r="979">
      <c r="A979" t="inlineStr">
        <is>
          <t>NCI_CLIENT_PRODUCT_TYPE</t>
        </is>
      </c>
      <c r="B979" t="inlineStr">
        <is>
          <t>Entity</t>
        </is>
      </c>
      <c r="C979" t="inlineStr">
        <is>
          <t>MappingLevel</t>
        </is>
      </c>
      <c r="D979" s="6" t="inlineStr">
        <is>
          <t>Application Specific</t>
        </is>
      </c>
      <c r="E979" s="6" t="inlineStr">
        <is>
          <t>Application Specific</t>
        </is>
      </c>
      <c r="F979" s="12" t="inlineStr">
        <is>
          <t>PASS</t>
        </is>
      </c>
      <c r="G979" t="inlineStr">
        <is>
          <t>BIM-core.MappingLevel</t>
        </is>
      </c>
      <c r="H979" s="6" t="n"/>
    </row>
    <row r="980">
      <c r="A980" t="inlineStr">
        <is>
          <t>NCI_CLIENT_PRODUCT_TYPE</t>
        </is>
      </c>
      <c r="B980" t="inlineStr">
        <is>
          <t>Entity</t>
        </is>
      </c>
      <c r="C980" t="inlineStr">
        <is>
          <t>PD_ObjectID</t>
        </is>
      </c>
      <c r="D980" s="6" t="inlineStr">
        <is>
          <t>941DFC99-9C26-4180-B991-C6BE4EE67973</t>
        </is>
      </c>
      <c r="E980" s="6" t="inlineStr">
        <is>
          <t>941DFC99-9C26-4180-B991-C6BE4EE67973</t>
        </is>
      </c>
      <c r="F980" s="12" t="inlineStr">
        <is>
          <t>PASS</t>
        </is>
      </c>
      <c r="H980" s="6" t="n"/>
    </row>
    <row r="981">
      <c r="A981" t="inlineStr">
        <is>
          <t>NCI_CLIENT_PRODUCT_TYPE</t>
        </is>
      </c>
      <c r="B981" t="inlineStr">
        <is>
          <t>Entity</t>
        </is>
      </c>
      <c r="C981" t="inlineStr">
        <is>
          <t>PD_SourceExtraction</t>
        </is>
      </c>
      <c r="D981" s="6" t="inlineStr">
        <is>
          <t>46603045</t>
        </is>
      </c>
      <c r="E981" s="6" t="inlineStr">
        <is>
          <t>46603045</t>
        </is>
      </c>
      <c r="F981" s="12" t="inlineStr">
        <is>
          <t>PASS</t>
        </is>
      </c>
      <c r="H981" s="6" t="n"/>
    </row>
    <row r="982">
      <c r="A982" t="inlineStr">
        <is>
          <t>NCI_CLIENT_PRODUCT_TYPE</t>
        </is>
      </c>
      <c r="B982" t="inlineStr">
        <is>
          <t>Entity</t>
        </is>
      </c>
      <c r="C982" t="inlineStr">
        <is>
          <t>PD_SourceModel</t>
        </is>
      </c>
      <c r="D982" s="6" t="inlineStr">
        <is>
          <t>05_Carbon_Calculator</t>
        </is>
      </c>
      <c r="E982" s="6" t="inlineStr">
        <is>
          <t>05_Carbon_Calculator</t>
        </is>
      </c>
      <c r="F982" s="12" t="inlineStr">
        <is>
          <t>PASS</t>
        </is>
      </c>
      <c r="H982" s="6" t="n"/>
    </row>
    <row r="983">
      <c r="A983" t="inlineStr">
        <is>
          <t>NCI_CLIENT_PRODUCT_TYPE</t>
        </is>
      </c>
      <c r="B983" t="inlineStr">
        <is>
          <t>Entity</t>
        </is>
      </c>
      <c r="C983" t="inlineStr">
        <is>
          <t>SensitivePersonalData</t>
        </is>
      </c>
      <c r="D983" s="6" t="inlineStr">
        <is>
          <t>No Sensitive Personal Data</t>
        </is>
      </c>
      <c r="E983" s="6" t="inlineStr">
        <is>
          <t>No Sensitive Personal Data</t>
        </is>
      </c>
      <c r="F983" s="12" t="inlineStr">
        <is>
          <t>PASS</t>
        </is>
      </c>
      <c r="G983" t="inlineStr">
        <is>
          <t>BIM-core.SensitivePersonalData</t>
        </is>
      </c>
      <c r="H983" s="6" t="n"/>
    </row>
    <row r="984">
      <c r="A984" t="inlineStr">
        <is>
          <t>NCI_CLIENT_PRODUCT_UOM</t>
        </is>
      </c>
      <c r="B984" t="inlineStr">
        <is>
          <t>Entity</t>
        </is>
      </c>
      <c r="C984" t="inlineStr">
        <is>
          <t>CommerciallySensitiveInformation</t>
        </is>
      </c>
      <c r="D984" s="6" t="inlineStr">
        <is>
          <t>No Commercially Sensitive Information</t>
        </is>
      </c>
      <c r="E984" s="6" t="inlineStr">
        <is>
          <t>No Commercially Sensitive Information</t>
        </is>
      </c>
      <c r="F984" s="12" t="inlineStr">
        <is>
          <t>PASS</t>
        </is>
      </c>
      <c r="G984" t="inlineStr">
        <is>
          <t>BIM-core.CommerciallySensitiveInformation</t>
        </is>
      </c>
      <c r="H984" s="6" t="n"/>
    </row>
    <row r="985">
      <c r="A985" t="inlineStr">
        <is>
          <t>NCI_CLIENT_PRODUCT_UOM</t>
        </is>
      </c>
      <c r="B985" t="inlineStr">
        <is>
          <t>Entity</t>
        </is>
      </c>
      <c r="C985" t="inlineStr">
        <is>
          <t>Criticality</t>
        </is>
      </c>
      <c r="D985" s="6" t="inlineStr">
        <is>
          <t>No Critical Data</t>
        </is>
      </c>
      <c r="E985" s="6" t="inlineStr">
        <is>
          <t>No Critical Data</t>
        </is>
      </c>
      <c r="F985" s="12" t="inlineStr">
        <is>
          <t>PASS</t>
        </is>
      </c>
      <c r="G985" t="inlineStr">
        <is>
          <t>BIM-core.Criticality</t>
        </is>
      </c>
      <c r="H985" s="6" t="n"/>
    </row>
    <row r="986">
      <c r="A986" t="inlineStr">
        <is>
          <t>NCI_CLIENT_PRODUCT_UOM</t>
        </is>
      </c>
      <c r="B986" t="inlineStr">
        <is>
          <t>Entity</t>
        </is>
      </c>
      <c r="C986" t="inlineStr">
        <is>
          <t>DataCategory</t>
        </is>
      </c>
      <c r="D986" s="6" t="inlineStr">
        <is>
          <t>Structured</t>
        </is>
      </c>
      <c r="E986" s="6" t="inlineStr">
        <is>
          <t>Structured</t>
        </is>
      </c>
      <c r="F986" s="12" t="inlineStr">
        <is>
          <t>PASS</t>
        </is>
      </c>
      <c r="G986" t="inlineStr">
        <is>
          <t>BIM-core.DataCategory</t>
        </is>
      </c>
      <c r="H986" s="6" t="n"/>
    </row>
    <row r="987">
      <c r="A987" t="inlineStr">
        <is>
          <t>NCI_CLIENT_PRODUCT_UOM</t>
        </is>
      </c>
      <c r="B987" t="inlineStr">
        <is>
          <t>Entity</t>
        </is>
      </c>
      <c r="C987" t="inlineStr">
        <is>
          <t>DataConfidentiality</t>
        </is>
      </c>
      <c r="D987" s="6" t="inlineStr">
        <is>
          <t>Internal</t>
        </is>
      </c>
      <c r="E987" s="6" t="inlineStr">
        <is>
          <t>Internal</t>
        </is>
      </c>
      <c r="F987" s="12" t="inlineStr">
        <is>
          <t>PASS</t>
        </is>
      </c>
      <c r="G987" t="inlineStr">
        <is>
          <t>BIM-core.DataConfidentiality</t>
        </is>
      </c>
      <c r="H987" s="6" t="n"/>
    </row>
    <row r="988">
      <c r="A988" t="inlineStr">
        <is>
          <t>NCI_CLIENT_PRODUCT_UOM</t>
        </is>
      </c>
      <c r="B988" t="inlineStr">
        <is>
          <t>Entity</t>
        </is>
      </c>
      <c r="C988" t="inlineStr">
        <is>
          <t>DesignStatus</t>
        </is>
      </c>
      <c r="D988" s="6" t="inlineStr">
        <is>
          <t>Approved</t>
        </is>
      </c>
      <c r="E988" s="6" t="inlineStr">
        <is>
          <t>Approved</t>
        </is>
      </c>
      <c r="F988" s="12" t="inlineStr">
        <is>
          <t>PASS</t>
        </is>
      </c>
      <c r="G988" t="inlineStr">
        <is>
          <t>BIM-core.DesignStatus</t>
        </is>
      </c>
      <c r="H988" s="6" t="n"/>
    </row>
    <row r="989">
      <c r="A989" t="inlineStr">
        <is>
          <t>NCI_CLIENT_PRODUCT_UOM</t>
        </is>
      </c>
      <c r="B989" t="inlineStr">
        <is>
          <t>Entity</t>
        </is>
      </c>
      <c r="C989" t="inlineStr">
        <is>
          <t>EntityCategory</t>
        </is>
      </c>
      <c r="D989" s="6" t="inlineStr">
        <is>
          <t>Transaction</t>
        </is>
      </c>
      <c r="E989" s="6" t="inlineStr">
        <is>
          <t>Transaction</t>
        </is>
      </c>
      <c r="F989" s="12" t="inlineStr">
        <is>
          <t>PASS</t>
        </is>
      </c>
      <c r="G989" t="inlineStr">
        <is>
          <t>BIM-core.EntityCategory</t>
        </is>
      </c>
      <c r="H989" s="6" t="n"/>
    </row>
    <row r="990">
      <c r="A990" t="inlineStr">
        <is>
          <t>NCI_CLIENT_PRODUCT_UOM</t>
        </is>
      </c>
      <c r="B990" t="inlineStr">
        <is>
          <t>Entity</t>
        </is>
      </c>
      <c r="C990" t="inlineStr">
        <is>
          <t>EntityPersonalData</t>
        </is>
      </c>
      <c r="D990" s="6" t="inlineStr">
        <is>
          <t>No Personal Data</t>
        </is>
      </c>
      <c r="E990" s="6" t="inlineStr">
        <is>
          <t>No Personal Data</t>
        </is>
      </c>
      <c r="F990" s="12" t="inlineStr">
        <is>
          <t>PASS</t>
        </is>
      </c>
      <c r="G990" t="inlineStr">
        <is>
          <t>BIM-core.EntityPersonalData</t>
        </is>
      </c>
      <c r="H990" s="6" t="n"/>
    </row>
    <row r="991">
      <c r="A991" t="inlineStr">
        <is>
          <t>NCI_CLIENT_PRODUCT_UOM</t>
        </is>
      </c>
      <c r="B991" t="inlineStr">
        <is>
          <t>Entity</t>
        </is>
      </c>
      <c r="C991" t="inlineStr">
        <is>
          <t>FinancialPersonalData</t>
        </is>
      </c>
      <c r="D991" s="6" t="inlineStr">
        <is>
          <t>No Financial Personal Data</t>
        </is>
      </c>
      <c r="E991" s="6" t="inlineStr">
        <is>
          <t>No Financial Personal Data</t>
        </is>
      </c>
      <c r="F991" s="12" t="inlineStr">
        <is>
          <t>PASS</t>
        </is>
      </c>
      <c r="G991" t="inlineStr">
        <is>
          <t>BIM-core.FinancialPersonalData</t>
        </is>
      </c>
      <c r="H991" s="6" t="n"/>
    </row>
    <row r="992">
      <c r="A992" t="inlineStr">
        <is>
          <t>NCI_CLIENT_PRODUCT_UOM</t>
        </is>
      </c>
      <c r="B992" t="inlineStr">
        <is>
          <t>Entity</t>
        </is>
      </c>
      <c r="C992" t="inlineStr">
        <is>
          <t>MTED_EDaM_Mapping_Note</t>
        </is>
      </c>
      <c r="D992" s="6" t="inlineStr">
        <is>
          <t>{\rtf1\ansi\ansicpg1252\deff0\nouicompat\deflang2057{\fonttbl{\f0\fnil\fcharset0 Times New Roman;}}</t>
        </is>
      </c>
      <c r="E992" s="6" t="inlineStr">
        <is>
          <t>{\rtf1\ansi\ansicpg1252\deff0\nouicompat\deflang2057{\fonttbl{\f0\fnil\fcharset0 Times New Roman;}}</t>
        </is>
      </c>
      <c r="F992" s="12" t="inlineStr">
        <is>
          <t>PASS</t>
        </is>
      </c>
      <c r="G992" t="inlineStr">
        <is>
          <t>BIM-core.MTED_EDaM_Mapping_Note</t>
        </is>
      </c>
      <c r="H992" s="6" t="n"/>
    </row>
    <row r="993">
      <c r="A993" t="inlineStr">
        <is>
          <t>NCI_CLIENT_PRODUCT_UOM</t>
        </is>
      </c>
      <c r="B993" t="inlineStr">
        <is>
          <t>Entity</t>
        </is>
      </c>
      <c r="C993" t="inlineStr">
        <is>
          <t>MappingLevel</t>
        </is>
      </c>
      <c r="D993" s="6" t="inlineStr">
        <is>
          <t>Application Specific</t>
        </is>
      </c>
      <c r="E993" s="6" t="inlineStr">
        <is>
          <t>Application Specific</t>
        </is>
      </c>
      <c r="F993" s="12" t="inlineStr">
        <is>
          <t>PASS</t>
        </is>
      </c>
      <c r="G993" t="inlineStr">
        <is>
          <t>BIM-core.MappingLevel</t>
        </is>
      </c>
      <c r="H993" s="6" t="n"/>
    </row>
    <row r="994">
      <c r="A994" t="inlineStr">
        <is>
          <t>NCI_CLIENT_PRODUCT_UOM</t>
        </is>
      </c>
      <c r="B994" t="inlineStr">
        <is>
          <t>Entity</t>
        </is>
      </c>
      <c r="C994" t="inlineStr">
        <is>
          <t>PD_ObjectID</t>
        </is>
      </c>
      <c r="D994" s="6" t="inlineStr">
        <is>
          <t>C5622F66-7EF1-471D-989F-D4147851A4DA</t>
        </is>
      </c>
      <c r="E994" s="6" t="inlineStr">
        <is>
          <t>C5622F66-7EF1-471D-989F-D4147851A4DA</t>
        </is>
      </c>
      <c r="F994" s="12" t="inlineStr">
        <is>
          <t>PASS</t>
        </is>
      </c>
      <c r="H994" s="6" t="n"/>
    </row>
    <row r="995">
      <c r="A995" t="inlineStr">
        <is>
          <t>NCI_CLIENT_PRODUCT_UOM</t>
        </is>
      </c>
      <c r="B995" t="inlineStr">
        <is>
          <t>Entity</t>
        </is>
      </c>
      <c r="C995" t="inlineStr">
        <is>
          <t>PD_SourceExtraction</t>
        </is>
      </c>
      <c r="D995" s="6" t="inlineStr">
        <is>
          <t>46603045</t>
        </is>
      </c>
      <c r="E995" s="6" t="inlineStr">
        <is>
          <t>46603045</t>
        </is>
      </c>
      <c r="F995" s="12" t="inlineStr">
        <is>
          <t>PASS</t>
        </is>
      </c>
      <c r="H995" s="6" t="n"/>
    </row>
    <row r="996">
      <c r="A996" t="inlineStr">
        <is>
          <t>NCI_CLIENT_PRODUCT_UOM</t>
        </is>
      </c>
      <c r="B996" t="inlineStr">
        <is>
          <t>Entity</t>
        </is>
      </c>
      <c r="C996" t="inlineStr">
        <is>
          <t>PD_SourceModel</t>
        </is>
      </c>
      <c r="D996" s="6" t="inlineStr">
        <is>
          <t>05_Carbon_Calculator</t>
        </is>
      </c>
      <c r="E996" s="6" t="inlineStr">
        <is>
          <t>05_Carbon_Calculator</t>
        </is>
      </c>
      <c r="F996" s="12" t="inlineStr">
        <is>
          <t>PASS</t>
        </is>
      </c>
      <c r="H996" s="6" t="n"/>
    </row>
    <row r="997">
      <c r="A997" t="inlineStr">
        <is>
          <t>NCI_CLIENT_PRODUCT_UOM</t>
        </is>
      </c>
      <c r="B997" t="inlineStr">
        <is>
          <t>Entity</t>
        </is>
      </c>
      <c r="C997" t="inlineStr">
        <is>
          <t>SensitivePersonalData</t>
        </is>
      </c>
      <c r="D997" s="6" t="inlineStr">
        <is>
          <t>No Sensitive Personal Data</t>
        </is>
      </c>
      <c r="E997" s="6" t="inlineStr">
        <is>
          <t>No Sensitive Personal Data</t>
        </is>
      </c>
      <c r="F997" s="12" t="inlineStr">
        <is>
          <t>PASS</t>
        </is>
      </c>
      <c r="G997" t="inlineStr">
        <is>
          <t>BIM-core.SensitivePersonalData</t>
        </is>
      </c>
      <c r="H997" s="6" t="n"/>
    </row>
    <row r="998">
      <c r="A998" t="inlineStr">
        <is>
          <t>NCI_DATA_MAPPING</t>
        </is>
      </c>
      <c r="B998" t="inlineStr">
        <is>
          <t>Entity</t>
        </is>
      </c>
      <c r="C998" t="inlineStr">
        <is>
          <t>CommerciallySensitiveInformation</t>
        </is>
      </c>
      <c r="D998" s="6" t="inlineStr">
        <is>
          <t>No Commercially Sensitive Information</t>
        </is>
      </c>
      <c r="E998" s="6" t="inlineStr">
        <is>
          <t>No Commercially Sensitive Information</t>
        </is>
      </c>
      <c r="F998" s="12" t="inlineStr">
        <is>
          <t>PASS</t>
        </is>
      </c>
      <c r="G998" t="inlineStr">
        <is>
          <t>BIM-core.CommerciallySensitiveInformation</t>
        </is>
      </c>
      <c r="H998" s="6" t="n"/>
    </row>
    <row r="999">
      <c r="A999" t="inlineStr">
        <is>
          <t>NCI_DATA_MAPPING</t>
        </is>
      </c>
      <c r="B999" t="inlineStr">
        <is>
          <t>Entity</t>
        </is>
      </c>
      <c r="C999" t="inlineStr">
        <is>
          <t>Criticality</t>
        </is>
      </c>
      <c r="D999" s="6" t="inlineStr">
        <is>
          <t>No Critical Data</t>
        </is>
      </c>
      <c r="E999" s="6" t="inlineStr">
        <is>
          <t>No Critical Data</t>
        </is>
      </c>
      <c r="F999" s="12" t="inlineStr">
        <is>
          <t>PASS</t>
        </is>
      </c>
      <c r="G999" t="inlineStr">
        <is>
          <t>BIM-core.Criticality</t>
        </is>
      </c>
      <c r="H999" s="6" t="n"/>
    </row>
    <row r="1000">
      <c r="A1000" t="inlineStr">
        <is>
          <t>NCI_DATA_MAPPING</t>
        </is>
      </c>
      <c r="B1000" t="inlineStr">
        <is>
          <t>Entity</t>
        </is>
      </c>
      <c r="C1000" t="inlineStr">
        <is>
          <t>DataCategory</t>
        </is>
      </c>
      <c r="D1000" s="6" t="inlineStr">
        <is>
          <t>Structured</t>
        </is>
      </c>
      <c r="E1000" s="6" t="inlineStr">
        <is>
          <t>Structured</t>
        </is>
      </c>
      <c r="F1000" s="12" t="inlineStr">
        <is>
          <t>PASS</t>
        </is>
      </c>
      <c r="G1000" t="inlineStr">
        <is>
          <t>BIM-core.DataCategory</t>
        </is>
      </c>
      <c r="H1000" s="6" t="n"/>
    </row>
    <row r="1001">
      <c r="A1001" t="inlineStr">
        <is>
          <t>NCI_DATA_MAPPING</t>
        </is>
      </c>
      <c r="B1001" t="inlineStr">
        <is>
          <t>Entity</t>
        </is>
      </c>
      <c r="C1001" t="inlineStr">
        <is>
          <t>DataConfidentiality</t>
        </is>
      </c>
      <c r="D1001" s="6" t="inlineStr">
        <is>
          <t>Internal</t>
        </is>
      </c>
      <c r="E1001" s="6" t="inlineStr">
        <is>
          <t>Internal</t>
        </is>
      </c>
      <c r="F1001" s="12" t="inlineStr">
        <is>
          <t>PASS</t>
        </is>
      </c>
      <c r="G1001" t="inlineStr">
        <is>
          <t>BIM-core.DataConfidentiality</t>
        </is>
      </c>
      <c r="H1001" s="6" t="n"/>
    </row>
    <row r="1002">
      <c r="A1002" t="inlineStr">
        <is>
          <t>NCI_DATA_MAPPING</t>
        </is>
      </c>
      <c r="B1002" t="inlineStr">
        <is>
          <t>Entity</t>
        </is>
      </c>
      <c r="C1002" t="inlineStr">
        <is>
          <t>DesignStatus</t>
        </is>
      </c>
      <c r="D1002" s="6" t="inlineStr">
        <is>
          <t>Approved</t>
        </is>
      </c>
      <c r="E1002" s="6" t="inlineStr">
        <is>
          <t>Approved</t>
        </is>
      </c>
      <c r="F1002" s="12" t="inlineStr">
        <is>
          <t>PASS</t>
        </is>
      </c>
      <c r="G1002" t="inlineStr">
        <is>
          <t>BIM-core.DesignStatus</t>
        </is>
      </c>
      <c r="H1002" s="6" t="n"/>
    </row>
    <row r="1003">
      <c r="A1003" t="inlineStr">
        <is>
          <t>NCI_DATA_MAPPING</t>
        </is>
      </c>
      <c r="B1003" t="inlineStr">
        <is>
          <t>Entity</t>
        </is>
      </c>
      <c r="C1003" t="inlineStr">
        <is>
          <t>EntityCategory</t>
        </is>
      </c>
      <c r="D1003" s="6" t="inlineStr">
        <is>
          <t>Internal Reference</t>
        </is>
      </c>
      <c r="E1003" s="6" t="inlineStr">
        <is>
          <t>Internal Reference</t>
        </is>
      </c>
      <c r="F1003" s="12" t="inlineStr">
        <is>
          <t>PASS</t>
        </is>
      </c>
      <c r="G1003" t="inlineStr">
        <is>
          <t>BIM-core.EntityCategory</t>
        </is>
      </c>
      <c r="H1003" s="6" t="n"/>
    </row>
    <row r="1004">
      <c r="A1004" t="inlineStr">
        <is>
          <t>NCI_DATA_MAPPING</t>
        </is>
      </c>
      <c r="B1004" t="inlineStr">
        <is>
          <t>Entity</t>
        </is>
      </c>
      <c r="C1004" t="inlineStr">
        <is>
          <t>EntityPersonalData</t>
        </is>
      </c>
      <c r="D1004" s="6" t="inlineStr">
        <is>
          <t>No Personal Data</t>
        </is>
      </c>
      <c r="E1004" s="6" t="inlineStr">
        <is>
          <t>No Personal Data</t>
        </is>
      </c>
      <c r="F1004" s="12" t="inlineStr">
        <is>
          <t>PASS</t>
        </is>
      </c>
      <c r="G1004" t="inlineStr">
        <is>
          <t>BIM-core.EntityPersonalData</t>
        </is>
      </c>
      <c r="H1004" s="6" t="n"/>
    </row>
    <row r="1005">
      <c r="A1005" t="inlineStr">
        <is>
          <t>NCI_DATA_MAPPING</t>
        </is>
      </c>
      <c r="B1005" t="inlineStr">
        <is>
          <t>Entity</t>
        </is>
      </c>
      <c r="C1005" t="inlineStr">
        <is>
          <t>FinancialPersonalData</t>
        </is>
      </c>
      <c r="D1005" s="6" t="inlineStr">
        <is>
          <t>No Financial Personal Data</t>
        </is>
      </c>
      <c r="E1005" s="6" t="inlineStr">
        <is>
          <t>No Financial Personal Data</t>
        </is>
      </c>
      <c r="F1005" s="12" t="inlineStr">
        <is>
          <t>PASS</t>
        </is>
      </c>
      <c r="G1005" t="inlineStr">
        <is>
          <t>BIM-core.FinancialPersonalData</t>
        </is>
      </c>
      <c r="H1005" s="6" t="n"/>
    </row>
    <row r="1006">
      <c r="A1006" t="inlineStr">
        <is>
          <t>NCI_DATA_MAPPING</t>
        </is>
      </c>
      <c r="B1006" t="inlineStr">
        <is>
          <t>Entity</t>
        </is>
      </c>
      <c r="C1006" t="inlineStr">
        <is>
          <t>MTED_EDaM_Mapping_Note</t>
        </is>
      </c>
      <c r="D1006" s="6" t="inlineStr">
        <is>
          <t>{\rtf1\ansi\ansicpg1252\deff0\nouicompat\deflang2057{\fonttbl{\f0\fnil\fcharset0 Times New Roman;}}</t>
        </is>
      </c>
      <c r="E1006" s="6" t="inlineStr">
        <is>
          <t>{\rtf1\ansi\ansicpg1252\deff0\nouicompat\deflang2057{\fonttbl{\f0\fnil\fcharset0 Times New Roman;}}</t>
        </is>
      </c>
      <c r="F1006" s="12" t="inlineStr">
        <is>
          <t>PASS</t>
        </is>
      </c>
      <c r="G1006" t="inlineStr">
        <is>
          <t>BIM-core.MTED_EDaM_Mapping_Note</t>
        </is>
      </c>
      <c r="H1006" s="6" t="n"/>
    </row>
    <row r="1007">
      <c r="A1007" t="inlineStr">
        <is>
          <t>NCI_DATA_MAPPING</t>
        </is>
      </c>
      <c r="B1007" t="inlineStr">
        <is>
          <t>Entity</t>
        </is>
      </c>
      <c r="C1007" t="inlineStr">
        <is>
          <t>MappingLevel</t>
        </is>
      </c>
      <c r="D1007" s="6" t="inlineStr">
        <is>
          <t>Application Specific</t>
        </is>
      </c>
      <c r="E1007" s="6" t="inlineStr">
        <is>
          <t>Application Specific</t>
        </is>
      </c>
      <c r="F1007" s="12" t="inlineStr">
        <is>
          <t>PASS</t>
        </is>
      </c>
      <c r="G1007" t="inlineStr">
        <is>
          <t>BIM-core.MappingLevel</t>
        </is>
      </c>
      <c r="H1007" s="6" t="n"/>
    </row>
    <row r="1008">
      <c r="A1008" t="inlineStr">
        <is>
          <t>NCI_DATA_MAPPING</t>
        </is>
      </c>
      <c r="B1008" t="inlineStr">
        <is>
          <t>Entity</t>
        </is>
      </c>
      <c r="C1008" t="inlineStr">
        <is>
          <t>PD_ObjectID</t>
        </is>
      </c>
      <c r="D1008" s="6" t="inlineStr">
        <is>
          <t>5529A9F4-89EF-4A3E-940F-2DDE4BDDD183</t>
        </is>
      </c>
      <c r="E1008" s="6" t="inlineStr">
        <is>
          <t>5529A9F4-89EF-4A3E-940F-2DDE4BDDD183</t>
        </is>
      </c>
      <c r="F1008" s="12" t="inlineStr">
        <is>
          <t>PASS</t>
        </is>
      </c>
      <c r="H1008" s="6" t="n"/>
    </row>
    <row r="1009">
      <c r="A1009" t="inlineStr">
        <is>
          <t>NCI_DATA_MAPPING</t>
        </is>
      </c>
      <c r="B1009" t="inlineStr">
        <is>
          <t>Entity</t>
        </is>
      </c>
      <c r="C1009" t="inlineStr">
        <is>
          <t>PD_SourceExtraction</t>
        </is>
      </c>
      <c r="D1009" s="6" t="inlineStr">
        <is>
          <t>46603045</t>
        </is>
      </c>
      <c r="E1009" s="6" t="inlineStr">
        <is>
          <t>46603045</t>
        </is>
      </c>
      <c r="F1009" s="12" t="inlineStr">
        <is>
          <t>PASS</t>
        </is>
      </c>
      <c r="H1009" s="6" t="n"/>
    </row>
    <row r="1010">
      <c r="A1010" t="inlineStr">
        <is>
          <t>NCI_DATA_MAPPING</t>
        </is>
      </c>
      <c r="B1010" t="inlineStr">
        <is>
          <t>Entity</t>
        </is>
      </c>
      <c r="C1010" t="inlineStr">
        <is>
          <t>PD_SourceModel</t>
        </is>
      </c>
      <c r="D1010" s="6" t="inlineStr">
        <is>
          <t>05_Carbon_Calculator</t>
        </is>
      </c>
      <c r="E1010" s="6" t="inlineStr">
        <is>
          <t>05_Carbon_Calculator</t>
        </is>
      </c>
      <c r="F1010" s="12" t="inlineStr">
        <is>
          <t>PASS</t>
        </is>
      </c>
      <c r="H1010" s="6" t="n"/>
    </row>
    <row r="1011">
      <c r="A1011" t="inlineStr">
        <is>
          <t>NCI_DATA_MAPPING</t>
        </is>
      </c>
      <c r="B1011" t="inlineStr">
        <is>
          <t>Entity</t>
        </is>
      </c>
      <c r="C1011" t="inlineStr">
        <is>
          <t>SensitivePersonalData</t>
        </is>
      </c>
      <c r="D1011" s="6" t="inlineStr">
        <is>
          <t>No Sensitive Personal Data</t>
        </is>
      </c>
      <c r="E1011" s="6" t="inlineStr">
        <is>
          <t>No Sensitive Personal Data</t>
        </is>
      </c>
      <c r="F1011" s="12" t="inlineStr">
        <is>
          <t>PASS</t>
        </is>
      </c>
      <c r="G1011" t="inlineStr">
        <is>
          <t>BIM-core.SensitivePersonalData</t>
        </is>
      </c>
      <c r="H1011" s="6" t="n"/>
    </row>
    <row r="1012">
      <c r="A1012" t="inlineStr">
        <is>
          <t>NCI_DATA_UPLOAD_VERSION</t>
        </is>
      </c>
      <c r="B1012" t="inlineStr">
        <is>
          <t>Entity</t>
        </is>
      </c>
      <c r="C1012" t="inlineStr">
        <is>
          <t>CommerciallySensitiveInformation</t>
        </is>
      </c>
      <c r="D1012" s="6" t="inlineStr">
        <is>
          <t>No Commercially Sensitive Information</t>
        </is>
      </c>
      <c r="E1012" s="6" t="inlineStr">
        <is>
          <t>No Commercially Sensitive Information</t>
        </is>
      </c>
      <c r="F1012" s="12" t="inlineStr">
        <is>
          <t>PASS</t>
        </is>
      </c>
      <c r="G1012" t="inlineStr">
        <is>
          <t>BIM-core.CommerciallySensitiveInformation</t>
        </is>
      </c>
      <c r="H1012" s="6" t="n"/>
    </row>
    <row r="1013">
      <c r="A1013" t="inlineStr">
        <is>
          <t>NCI_DATA_UPLOAD_VERSION</t>
        </is>
      </c>
      <c r="B1013" t="inlineStr">
        <is>
          <t>Entity</t>
        </is>
      </c>
      <c r="C1013" t="inlineStr">
        <is>
          <t>Criticality</t>
        </is>
      </c>
      <c r="D1013" s="6" t="inlineStr">
        <is>
          <t>No Critical Data</t>
        </is>
      </c>
      <c r="E1013" s="6" t="inlineStr">
        <is>
          <t>No Critical Data</t>
        </is>
      </c>
      <c r="F1013" s="12" t="inlineStr">
        <is>
          <t>PASS</t>
        </is>
      </c>
      <c r="G1013" t="inlineStr">
        <is>
          <t>BIM-core.Criticality</t>
        </is>
      </c>
      <c r="H1013" s="6" t="n"/>
    </row>
    <row r="1014">
      <c r="A1014" t="inlineStr">
        <is>
          <t>NCI_DATA_UPLOAD_VERSION</t>
        </is>
      </c>
      <c r="B1014" t="inlineStr">
        <is>
          <t>Entity</t>
        </is>
      </c>
      <c r="C1014" t="inlineStr">
        <is>
          <t>DataCategory</t>
        </is>
      </c>
      <c r="D1014" s="6" t="inlineStr">
        <is>
          <t>Structured</t>
        </is>
      </c>
      <c r="E1014" s="6" t="inlineStr">
        <is>
          <t>Structured</t>
        </is>
      </c>
      <c r="F1014" s="12" t="inlineStr">
        <is>
          <t>PASS</t>
        </is>
      </c>
      <c r="G1014" t="inlineStr">
        <is>
          <t>BIM-core.DataCategory</t>
        </is>
      </c>
      <c r="H1014" s="6" t="n"/>
    </row>
    <row r="1015">
      <c r="A1015" t="inlineStr">
        <is>
          <t>NCI_DATA_UPLOAD_VERSION</t>
        </is>
      </c>
      <c r="B1015" t="inlineStr">
        <is>
          <t>Entity</t>
        </is>
      </c>
      <c r="C1015" t="inlineStr">
        <is>
          <t>DataConfidentiality</t>
        </is>
      </c>
      <c r="D1015" s="6" t="inlineStr">
        <is>
          <t>Internal</t>
        </is>
      </c>
      <c r="E1015" s="6" t="inlineStr">
        <is>
          <t>Internal</t>
        </is>
      </c>
      <c r="F1015" s="12" t="inlineStr">
        <is>
          <t>PASS</t>
        </is>
      </c>
      <c r="G1015" t="inlineStr">
        <is>
          <t>BIM-core.DataConfidentiality</t>
        </is>
      </c>
      <c r="H1015" s="6" t="n"/>
    </row>
    <row r="1016">
      <c r="A1016" t="inlineStr">
        <is>
          <t>NCI_DATA_UPLOAD_VERSION</t>
        </is>
      </c>
      <c r="B1016" t="inlineStr">
        <is>
          <t>Entity</t>
        </is>
      </c>
      <c r="C1016" t="inlineStr">
        <is>
          <t>DesignStatus</t>
        </is>
      </c>
      <c r="D1016" s="6" t="inlineStr">
        <is>
          <t>Approved</t>
        </is>
      </c>
      <c r="E1016" s="6" t="inlineStr">
        <is>
          <t>Approved</t>
        </is>
      </c>
      <c r="F1016" s="12" t="inlineStr">
        <is>
          <t>PASS</t>
        </is>
      </c>
      <c r="G1016" t="inlineStr">
        <is>
          <t>BIM-core.DesignStatus</t>
        </is>
      </c>
      <c r="H1016" s="6" t="n"/>
    </row>
    <row r="1017">
      <c r="A1017" t="inlineStr">
        <is>
          <t>NCI_DATA_UPLOAD_VERSION</t>
        </is>
      </c>
      <c r="B1017" t="inlineStr">
        <is>
          <t>Entity</t>
        </is>
      </c>
      <c r="C1017" t="inlineStr">
        <is>
          <t>EntityCategory</t>
        </is>
      </c>
      <c r="D1017" s="6" t="inlineStr">
        <is>
          <t>Master</t>
        </is>
      </c>
      <c r="E1017" s="6" t="inlineStr">
        <is>
          <t>Master</t>
        </is>
      </c>
      <c r="F1017" s="12" t="inlineStr">
        <is>
          <t>PASS</t>
        </is>
      </c>
      <c r="G1017" t="inlineStr">
        <is>
          <t>BIM-core.EntityCategory</t>
        </is>
      </c>
      <c r="H1017" s="6" t="n"/>
    </row>
    <row r="1018">
      <c r="A1018" t="inlineStr">
        <is>
          <t>NCI_DATA_UPLOAD_VERSION</t>
        </is>
      </c>
      <c r="B1018" t="inlineStr">
        <is>
          <t>Entity</t>
        </is>
      </c>
      <c r="C1018" t="inlineStr">
        <is>
          <t>EntityPersonalData</t>
        </is>
      </c>
      <c r="D1018" s="6" t="inlineStr">
        <is>
          <t>No Personal Data</t>
        </is>
      </c>
      <c r="E1018" s="6" t="inlineStr">
        <is>
          <t>No Personal Data</t>
        </is>
      </c>
      <c r="F1018" s="12" t="inlineStr">
        <is>
          <t>PASS</t>
        </is>
      </c>
      <c r="G1018" t="inlineStr">
        <is>
          <t>BIM-core.EntityPersonalData</t>
        </is>
      </c>
      <c r="H1018" s="6" t="n"/>
    </row>
    <row r="1019">
      <c r="A1019" t="inlineStr">
        <is>
          <t>NCI_DATA_UPLOAD_VERSION</t>
        </is>
      </c>
      <c r="B1019" t="inlineStr">
        <is>
          <t>Entity</t>
        </is>
      </c>
      <c r="C1019" t="inlineStr">
        <is>
          <t>FinancialPersonalData</t>
        </is>
      </c>
      <c r="D1019" s="6" t="inlineStr">
        <is>
          <t>No Financial Personal Data</t>
        </is>
      </c>
      <c r="E1019" s="6" t="inlineStr">
        <is>
          <t>No Financial Personal Data</t>
        </is>
      </c>
      <c r="F1019" s="12" t="inlineStr">
        <is>
          <t>PASS</t>
        </is>
      </c>
      <c r="G1019" t="inlineStr">
        <is>
          <t>BIM-core.FinancialPersonalData</t>
        </is>
      </c>
      <c r="H1019" s="6" t="n"/>
    </row>
    <row r="1020">
      <c r="A1020" t="inlineStr">
        <is>
          <t>NCI_DATA_UPLOAD_VERSION</t>
        </is>
      </c>
      <c r="B1020" t="inlineStr">
        <is>
          <t>Entity</t>
        </is>
      </c>
      <c r="C1020" t="inlineStr">
        <is>
          <t>MTED_EDaM_Mapping_Note</t>
        </is>
      </c>
      <c r="D1020" s="6" t="inlineStr">
        <is>
          <t>{\rtf1\ansi\ansicpg1252\deff0\nouicompat\deflang2057{\fonttbl{\f0\fnil\fcharset0 Times New Roman;}}</t>
        </is>
      </c>
      <c r="E1020" s="6" t="inlineStr">
        <is>
          <t>{\rtf1\ansi\ansicpg1252\deff0\nouicompat\deflang2057{\fonttbl{\f0\fnil\fcharset0 Times New Roman;}}</t>
        </is>
      </c>
      <c r="F1020" s="12" t="inlineStr">
        <is>
          <t>PASS</t>
        </is>
      </c>
      <c r="G1020" t="inlineStr">
        <is>
          <t>BIM-core.MTED_EDaM_Mapping_Note</t>
        </is>
      </c>
      <c r="H1020" s="6" t="n"/>
    </row>
    <row r="1021">
      <c r="A1021" t="inlineStr">
        <is>
          <t>NCI_DATA_UPLOAD_VERSION</t>
        </is>
      </c>
      <c r="B1021" t="inlineStr">
        <is>
          <t>Entity</t>
        </is>
      </c>
      <c r="C1021" t="inlineStr">
        <is>
          <t>MappingLevel</t>
        </is>
      </c>
      <c r="D1021" s="6" t="inlineStr">
        <is>
          <t>Application Specific</t>
        </is>
      </c>
      <c r="E1021" s="6" t="inlineStr">
        <is>
          <t>Application Specific</t>
        </is>
      </c>
      <c r="F1021" s="12" t="inlineStr">
        <is>
          <t>PASS</t>
        </is>
      </c>
      <c r="G1021" t="inlineStr">
        <is>
          <t>BIM-core.MappingLevel</t>
        </is>
      </c>
      <c r="H1021" s="6" t="n"/>
    </row>
    <row r="1022">
      <c r="A1022" t="inlineStr">
        <is>
          <t>NCI_DATA_UPLOAD_VERSION</t>
        </is>
      </c>
      <c r="B1022" t="inlineStr">
        <is>
          <t>Entity</t>
        </is>
      </c>
      <c r="C1022" t="inlineStr">
        <is>
          <t>PD_ObjectID</t>
        </is>
      </c>
      <c r="D1022" s="6" t="inlineStr">
        <is>
          <t>98D05D63-B6CA-4F6D-83E4-372F5EAE467A</t>
        </is>
      </c>
      <c r="E1022" s="6" t="inlineStr">
        <is>
          <t>98D05D63-B6CA-4F6D-83E4-372F5EAE467A</t>
        </is>
      </c>
      <c r="F1022" s="12" t="inlineStr">
        <is>
          <t>PASS</t>
        </is>
      </c>
      <c r="H1022" s="6" t="n"/>
    </row>
    <row r="1023">
      <c r="A1023" t="inlineStr">
        <is>
          <t>NCI_DATA_UPLOAD_VERSION</t>
        </is>
      </c>
      <c r="B1023" t="inlineStr">
        <is>
          <t>Entity</t>
        </is>
      </c>
      <c r="C1023" t="inlineStr">
        <is>
          <t>PD_SourceExtraction</t>
        </is>
      </c>
      <c r="D1023" s="6" t="inlineStr">
        <is>
          <t>46603045</t>
        </is>
      </c>
      <c r="E1023" s="6" t="inlineStr">
        <is>
          <t>46603045</t>
        </is>
      </c>
      <c r="F1023" s="12" t="inlineStr">
        <is>
          <t>PASS</t>
        </is>
      </c>
      <c r="H1023" s="6" t="n"/>
    </row>
    <row r="1024">
      <c r="A1024" t="inlineStr">
        <is>
          <t>NCI_DATA_UPLOAD_VERSION</t>
        </is>
      </c>
      <c r="B1024" t="inlineStr">
        <is>
          <t>Entity</t>
        </is>
      </c>
      <c r="C1024" t="inlineStr">
        <is>
          <t>PD_SourceModel</t>
        </is>
      </c>
      <c r="D1024" s="6" t="inlineStr">
        <is>
          <t>05_Carbon_Calculator</t>
        </is>
      </c>
      <c r="E1024" s="6" t="inlineStr">
        <is>
          <t>05_Carbon_Calculator</t>
        </is>
      </c>
      <c r="F1024" s="12" t="inlineStr">
        <is>
          <t>PASS</t>
        </is>
      </c>
      <c r="H1024" s="6" t="n"/>
    </row>
    <row r="1025">
      <c r="A1025" t="inlineStr">
        <is>
          <t>NCI_DATA_UPLOAD_VERSION</t>
        </is>
      </c>
      <c r="B1025" t="inlineStr">
        <is>
          <t>Entity</t>
        </is>
      </c>
      <c r="C1025" t="inlineStr">
        <is>
          <t>SensitivePersonalData</t>
        </is>
      </c>
      <c r="D1025" s="6" t="inlineStr">
        <is>
          <t>No Sensitive Personal Data</t>
        </is>
      </c>
      <c r="E1025" s="6" t="inlineStr">
        <is>
          <t>No Sensitive Personal Data</t>
        </is>
      </c>
      <c r="F1025" s="12" t="inlineStr">
        <is>
          <t>PASS</t>
        </is>
      </c>
      <c r="G1025" t="inlineStr">
        <is>
          <t>BIM-core.SensitivePersonalData</t>
        </is>
      </c>
      <c r="H1025" s="6" t="n"/>
    </row>
    <row r="1026">
      <c r="A1026" t="inlineStr">
        <is>
          <t>NCI_PRODUCT_PROPERTY_PVS</t>
        </is>
      </c>
      <c r="B1026" t="inlineStr">
        <is>
          <t>Entity</t>
        </is>
      </c>
      <c r="C1026" t="inlineStr">
        <is>
          <t>CommerciallySensitiveInformation</t>
        </is>
      </c>
      <c r="D1026" s="6" t="inlineStr">
        <is>
          <t>No Commercially Sensitive Information</t>
        </is>
      </c>
      <c r="E1026" s="6" t="inlineStr">
        <is>
          <t>No Commercially Sensitive Information</t>
        </is>
      </c>
      <c r="F1026" s="12" t="inlineStr">
        <is>
          <t>PASS</t>
        </is>
      </c>
      <c r="G1026" t="inlineStr">
        <is>
          <t>BIM-core.CommerciallySensitiveInformation</t>
        </is>
      </c>
      <c r="H1026" s="6" t="n"/>
    </row>
    <row r="1027">
      <c r="A1027" t="inlineStr">
        <is>
          <t>NCI_PRODUCT_PROPERTY_PVS</t>
        </is>
      </c>
      <c r="B1027" t="inlineStr">
        <is>
          <t>Entity</t>
        </is>
      </c>
      <c r="C1027" t="inlineStr">
        <is>
          <t>Criticality</t>
        </is>
      </c>
      <c r="D1027" s="6" t="inlineStr">
        <is>
          <t>No Critical Data</t>
        </is>
      </c>
      <c r="E1027" s="6" t="inlineStr">
        <is>
          <t>No Critical Data</t>
        </is>
      </c>
      <c r="F1027" s="12" t="inlineStr">
        <is>
          <t>PASS</t>
        </is>
      </c>
      <c r="G1027" t="inlineStr">
        <is>
          <t>BIM-core.Criticality</t>
        </is>
      </c>
      <c r="H1027" s="6" t="n"/>
    </row>
    <row r="1028">
      <c r="A1028" t="inlineStr">
        <is>
          <t>NCI_PRODUCT_PROPERTY_PVS</t>
        </is>
      </c>
      <c r="B1028" t="inlineStr">
        <is>
          <t>Entity</t>
        </is>
      </c>
      <c r="C1028" t="inlineStr">
        <is>
          <t>DataCategory</t>
        </is>
      </c>
      <c r="D1028" s="6" t="inlineStr">
        <is>
          <t>Structured</t>
        </is>
      </c>
      <c r="E1028" s="6" t="inlineStr">
        <is>
          <t>Structured</t>
        </is>
      </c>
      <c r="F1028" s="12" t="inlineStr">
        <is>
          <t>PASS</t>
        </is>
      </c>
      <c r="G1028" t="inlineStr">
        <is>
          <t>BIM-core.DataCategory</t>
        </is>
      </c>
      <c r="H1028" s="6" t="n"/>
    </row>
    <row r="1029">
      <c r="A1029" t="inlineStr">
        <is>
          <t>NCI_PRODUCT_PROPERTY_PVS</t>
        </is>
      </c>
      <c r="B1029" t="inlineStr">
        <is>
          <t>Entity</t>
        </is>
      </c>
      <c r="C1029" t="inlineStr">
        <is>
          <t>DataConfidentiality</t>
        </is>
      </c>
      <c r="D1029" s="6" t="inlineStr">
        <is>
          <t>Internal</t>
        </is>
      </c>
      <c r="E1029" s="6" t="inlineStr">
        <is>
          <t>Internal</t>
        </is>
      </c>
      <c r="F1029" s="12" t="inlineStr">
        <is>
          <t>PASS</t>
        </is>
      </c>
      <c r="G1029" t="inlineStr">
        <is>
          <t>BIM-core.DataConfidentiality</t>
        </is>
      </c>
      <c r="H1029" s="6" t="n"/>
    </row>
    <row r="1030">
      <c r="A1030" t="inlineStr">
        <is>
          <t>NCI_PRODUCT_PROPERTY_PVS</t>
        </is>
      </c>
      <c r="B1030" t="inlineStr">
        <is>
          <t>Entity</t>
        </is>
      </c>
      <c r="C1030" t="inlineStr">
        <is>
          <t>DesignStatus</t>
        </is>
      </c>
      <c r="D1030" s="6" t="inlineStr">
        <is>
          <t>Approved</t>
        </is>
      </c>
      <c r="E1030" s="6" t="inlineStr">
        <is>
          <t>Approved</t>
        </is>
      </c>
      <c r="F1030" s="12" t="inlineStr">
        <is>
          <t>PASS</t>
        </is>
      </c>
      <c r="G1030" t="inlineStr">
        <is>
          <t>BIM-core.DesignStatus</t>
        </is>
      </c>
      <c r="H1030" s="6" t="n"/>
    </row>
    <row r="1031">
      <c r="A1031" t="inlineStr">
        <is>
          <t>NCI_PRODUCT_PROPERTY_PVS</t>
        </is>
      </c>
      <c r="B1031" t="inlineStr">
        <is>
          <t>Entity</t>
        </is>
      </c>
      <c r="C1031" t="inlineStr">
        <is>
          <t>EntityCategory</t>
        </is>
      </c>
      <c r="D1031" s="6" t="inlineStr">
        <is>
          <t>Intersection</t>
        </is>
      </c>
      <c r="E1031" s="6" t="inlineStr">
        <is>
          <t>Intersection</t>
        </is>
      </c>
      <c r="F1031" s="12" t="inlineStr">
        <is>
          <t>PASS</t>
        </is>
      </c>
      <c r="G1031" t="inlineStr">
        <is>
          <t>BIM-core.EntityCategory</t>
        </is>
      </c>
      <c r="H1031" s="6" t="n"/>
    </row>
    <row r="1032">
      <c r="A1032" t="inlineStr">
        <is>
          <t>NCI_PRODUCT_PROPERTY_PVS</t>
        </is>
      </c>
      <c r="B1032" t="inlineStr">
        <is>
          <t>Entity</t>
        </is>
      </c>
      <c r="C1032" t="inlineStr">
        <is>
          <t>EntityPersonalData</t>
        </is>
      </c>
      <c r="D1032" s="6" t="inlineStr">
        <is>
          <t>No Personal Data</t>
        </is>
      </c>
      <c r="E1032" s="6" t="inlineStr">
        <is>
          <t>No Personal Data</t>
        </is>
      </c>
      <c r="F1032" s="12" t="inlineStr">
        <is>
          <t>PASS</t>
        </is>
      </c>
      <c r="G1032" t="inlineStr">
        <is>
          <t>BIM-core.EntityPersonalData</t>
        </is>
      </c>
      <c r="H1032" s="6" t="n"/>
    </row>
    <row r="1033">
      <c r="A1033" t="inlineStr">
        <is>
          <t>NCI_PRODUCT_PROPERTY_PVS</t>
        </is>
      </c>
      <c r="B1033" t="inlineStr">
        <is>
          <t>Entity</t>
        </is>
      </c>
      <c r="C1033" t="inlineStr">
        <is>
          <t>FinancialPersonalData</t>
        </is>
      </c>
      <c r="D1033" s="6" t="inlineStr">
        <is>
          <t>No Financial Personal Data</t>
        </is>
      </c>
      <c r="E1033" s="6" t="inlineStr">
        <is>
          <t>No Financial Personal Data</t>
        </is>
      </c>
      <c r="F1033" s="12" t="inlineStr">
        <is>
          <t>PASS</t>
        </is>
      </c>
      <c r="G1033" t="inlineStr">
        <is>
          <t>BIM-core.FinancialPersonalData</t>
        </is>
      </c>
      <c r="H1033" s="6" t="n"/>
    </row>
    <row r="1034">
      <c r="A1034" t="inlineStr">
        <is>
          <t>NCI_PRODUCT_PROPERTY_PVS</t>
        </is>
      </c>
      <c r="B1034" t="inlineStr">
        <is>
          <t>Entity</t>
        </is>
      </c>
      <c r="C1034" t="inlineStr">
        <is>
          <t>MTED_EDaM_Mapping_Note</t>
        </is>
      </c>
      <c r="D1034" s="6" t="inlineStr">
        <is>
          <t>{\rtf1\ansi\ansicpg1252\deff0\nouicompat\deflang2057{\fonttbl{\f0\fnil\fcharset0 Times New Roman;}}</t>
        </is>
      </c>
      <c r="E1034" s="6" t="inlineStr">
        <is>
          <t>{\rtf1\ansi\ansicpg1252\deff0\nouicompat\deflang2057{\fonttbl{\f0\fnil\fcharset0 Times New Roman;}}</t>
        </is>
      </c>
      <c r="F1034" s="12" t="inlineStr">
        <is>
          <t>PASS</t>
        </is>
      </c>
      <c r="G1034" t="inlineStr">
        <is>
          <t>BIM-core.MTED_EDaM_Mapping_Note</t>
        </is>
      </c>
      <c r="H1034" s="6" t="n"/>
    </row>
    <row r="1035">
      <c r="A1035" t="inlineStr">
        <is>
          <t>NCI_PRODUCT_PROPERTY_PVS</t>
        </is>
      </c>
      <c r="B1035" t="inlineStr">
        <is>
          <t>Entity</t>
        </is>
      </c>
      <c r="C1035" t="inlineStr">
        <is>
          <t>MappingLevel</t>
        </is>
      </c>
      <c r="D1035" s="6" t="inlineStr">
        <is>
          <t>Application Specific</t>
        </is>
      </c>
      <c r="E1035" s="6" t="inlineStr">
        <is>
          <t>Application Specific</t>
        </is>
      </c>
      <c r="F1035" s="12" t="inlineStr">
        <is>
          <t>PASS</t>
        </is>
      </c>
      <c r="G1035" t="inlineStr">
        <is>
          <t>BIM-core.MappingLevel</t>
        </is>
      </c>
      <c r="H1035" s="6" t="n"/>
    </row>
    <row r="1036">
      <c r="A1036" t="inlineStr">
        <is>
          <t>NCI_PRODUCT_PROPERTY_PVS</t>
        </is>
      </c>
      <c r="B1036" t="inlineStr">
        <is>
          <t>Entity</t>
        </is>
      </c>
      <c r="C1036" t="inlineStr">
        <is>
          <t>PD_ObjectID</t>
        </is>
      </c>
      <c r="D1036" s="6" t="inlineStr">
        <is>
          <t>992E0554-0A1E-45D1-BA77-275EB9F7B474</t>
        </is>
      </c>
      <c r="E1036" s="6" t="inlineStr">
        <is>
          <t>992E0554-0A1E-45D1-BA77-275EB9F7B474</t>
        </is>
      </c>
      <c r="F1036" s="12" t="inlineStr">
        <is>
          <t>PASS</t>
        </is>
      </c>
      <c r="H1036" s="6" t="n"/>
    </row>
    <row r="1037">
      <c r="A1037" t="inlineStr">
        <is>
          <t>NCI_PRODUCT_PROPERTY_PVS</t>
        </is>
      </c>
      <c r="B1037" t="inlineStr">
        <is>
          <t>Entity</t>
        </is>
      </c>
      <c r="C1037" t="inlineStr">
        <is>
          <t>PD_SourceExtraction</t>
        </is>
      </c>
      <c r="D1037" s="6" t="inlineStr">
        <is>
          <t>46603045</t>
        </is>
      </c>
      <c r="E1037" s="6" t="inlineStr">
        <is>
          <t>46603045</t>
        </is>
      </c>
      <c r="F1037" s="12" t="inlineStr">
        <is>
          <t>PASS</t>
        </is>
      </c>
      <c r="H1037" s="6" t="n"/>
    </row>
    <row r="1038">
      <c r="A1038" t="inlineStr">
        <is>
          <t>NCI_PRODUCT_PROPERTY_PVS</t>
        </is>
      </c>
      <c r="B1038" t="inlineStr">
        <is>
          <t>Entity</t>
        </is>
      </c>
      <c r="C1038" t="inlineStr">
        <is>
          <t>PD_SourceModel</t>
        </is>
      </c>
      <c r="D1038" s="6" t="inlineStr">
        <is>
          <t>05_Carbon_Calculator</t>
        </is>
      </c>
      <c r="E1038" s="6" t="inlineStr">
        <is>
          <t>05_Carbon_Calculator</t>
        </is>
      </c>
      <c r="F1038" s="12" t="inlineStr">
        <is>
          <t>PASS</t>
        </is>
      </c>
      <c r="H1038" s="6" t="n"/>
    </row>
    <row r="1039">
      <c r="A1039" t="inlineStr">
        <is>
          <t>NCI_PRODUCT_PROPERTY_PVS</t>
        </is>
      </c>
      <c r="B1039" t="inlineStr">
        <is>
          <t>Entity</t>
        </is>
      </c>
      <c r="C1039" t="inlineStr">
        <is>
          <t>SensitivePersonalData</t>
        </is>
      </c>
      <c r="D1039" s="6" t="inlineStr">
        <is>
          <t>No Sensitive Personal Data</t>
        </is>
      </c>
      <c r="E1039" s="6" t="inlineStr">
        <is>
          <t>No Sensitive Personal Data</t>
        </is>
      </c>
      <c r="F1039" s="12" t="inlineStr">
        <is>
          <t>PASS</t>
        </is>
      </c>
      <c r="G1039" t="inlineStr">
        <is>
          <t>BIM-core.SensitivePersonalData</t>
        </is>
      </c>
      <c r="H1039" s="6" t="n"/>
    </row>
    <row r="1040">
      <c r="A1040" t="inlineStr">
        <is>
          <t>NCI_UOM_CONVERSION_PVS</t>
        </is>
      </c>
      <c r="B1040" t="inlineStr">
        <is>
          <t>Entity</t>
        </is>
      </c>
      <c r="C1040" t="inlineStr">
        <is>
          <t>CommerciallySensitiveInformation</t>
        </is>
      </c>
      <c r="D1040" s="6" t="inlineStr">
        <is>
          <t>No Commercially Sensitive Information</t>
        </is>
      </c>
      <c r="E1040" s="6" t="inlineStr">
        <is>
          <t>No Commercially Sensitive Information</t>
        </is>
      </c>
      <c r="F1040" s="12" t="inlineStr">
        <is>
          <t>PASS</t>
        </is>
      </c>
      <c r="G1040" t="inlineStr">
        <is>
          <t>BIM-core.CommerciallySensitiveInformation</t>
        </is>
      </c>
      <c r="H1040" s="6" t="n"/>
    </row>
    <row r="1041">
      <c r="A1041" t="inlineStr">
        <is>
          <t>NCI_UOM_CONVERSION_PVS</t>
        </is>
      </c>
      <c r="B1041" t="inlineStr">
        <is>
          <t>Entity</t>
        </is>
      </c>
      <c r="C1041" t="inlineStr">
        <is>
          <t>Criticality</t>
        </is>
      </c>
      <c r="D1041" s="6" t="inlineStr">
        <is>
          <t>No Critical Data</t>
        </is>
      </c>
      <c r="E1041" s="6" t="inlineStr">
        <is>
          <t>No Critical Data</t>
        </is>
      </c>
      <c r="F1041" s="12" t="inlineStr">
        <is>
          <t>PASS</t>
        </is>
      </c>
      <c r="G1041" t="inlineStr">
        <is>
          <t>BIM-core.Criticality</t>
        </is>
      </c>
      <c r="H1041" s="6" t="n"/>
    </row>
    <row r="1042">
      <c r="A1042" t="inlineStr">
        <is>
          <t>NCI_UOM_CONVERSION_PVS</t>
        </is>
      </c>
      <c r="B1042" t="inlineStr">
        <is>
          <t>Entity</t>
        </is>
      </c>
      <c r="C1042" t="inlineStr">
        <is>
          <t>DataCategory</t>
        </is>
      </c>
      <c r="D1042" s="6" t="inlineStr">
        <is>
          <t>Structured</t>
        </is>
      </c>
      <c r="E1042" s="6" t="inlineStr">
        <is>
          <t>Structured</t>
        </is>
      </c>
      <c r="F1042" s="12" t="inlineStr">
        <is>
          <t>PASS</t>
        </is>
      </c>
      <c r="G1042" t="inlineStr">
        <is>
          <t>BIM-core.DataCategory</t>
        </is>
      </c>
      <c r="H1042" s="6" t="n"/>
    </row>
    <row r="1043">
      <c r="A1043" t="inlineStr">
        <is>
          <t>NCI_UOM_CONVERSION_PVS</t>
        </is>
      </c>
      <c r="B1043" t="inlineStr">
        <is>
          <t>Entity</t>
        </is>
      </c>
      <c r="C1043" t="inlineStr">
        <is>
          <t>DataConfidentiality</t>
        </is>
      </c>
      <c r="D1043" s="6" t="inlineStr">
        <is>
          <t>Internal</t>
        </is>
      </c>
      <c r="E1043" s="6" t="inlineStr">
        <is>
          <t>Internal</t>
        </is>
      </c>
      <c r="F1043" s="12" t="inlineStr">
        <is>
          <t>PASS</t>
        </is>
      </c>
      <c r="G1043" t="inlineStr">
        <is>
          <t>BIM-core.DataConfidentiality</t>
        </is>
      </c>
      <c r="H1043" s="6" t="n"/>
    </row>
    <row r="1044">
      <c r="A1044" t="inlineStr">
        <is>
          <t>NCI_UOM_CONVERSION_PVS</t>
        </is>
      </c>
      <c r="B1044" t="inlineStr">
        <is>
          <t>Entity</t>
        </is>
      </c>
      <c r="C1044" t="inlineStr">
        <is>
          <t>DesignStatus</t>
        </is>
      </c>
      <c r="D1044" s="6" t="inlineStr">
        <is>
          <t>Approved</t>
        </is>
      </c>
      <c r="E1044" s="6" t="inlineStr">
        <is>
          <t>Approved</t>
        </is>
      </c>
      <c r="F1044" s="12" t="inlineStr">
        <is>
          <t>PASS</t>
        </is>
      </c>
      <c r="G1044" t="inlineStr">
        <is>
          <t>BIM-core.DesignStatus</t>
        </is>
      </c>
      <c r="H1044" s="6" t="n"/>
    </row>
    <row r="1045">
      <c r="A1045" t="inlineStr">
        <is>
          <t>NCI_UOM_CONVERSION_PVS</t>
        </is>
      </c>
      <c r="B1045" t="inlineStr">
        <is>
          <t>Entity</t>
        </is>
      </c>
      <c r="C1045" t="inlineStr">
        <is>
          <t>EntityCategory</t>
        </is>
      </c>
      <c r="D1045" s="6" t="inlineStr">
        <is>
          <t>Intersection</t>
        </is>
      </c>
      <c r="E1045" s="6" t="inlineStr">
        <is>
          <t>Intersection</t>
        </is>
      </c>
      <c r="F1045" s="12" t="inlineStr">
        <is>
          <t>PASS</t>
        </is>
      </c>
      <c r="G1045" t="inlineStr">
        <is>
          <t>BIM-core.EntityCategory</t>
        </is>
      </c>
      <c r="H1045" s="6" t="n"/>
    </row>
    <row r="1046">
      <c r="A1046" t="inlineStr">
        <is>
          <t>NCI_UOM_CONVERSION_PVS</t>
        </is>
      </c>
      <c r="B1046" t="inlineStr">
        <is>
          <t>Entity</t>
        </is>
      </c>
      <c r="C1046" t="inlineStr">
        <is>
          <t>EntityPersonalData</t>
        </is>
      </c>
      <c r="D1046" s="6" t="inlineStr">
        <is>
          <t>No Personal Data</t>
        </is>
      </c>
      <c r="E1046" s="6" t="inlineStr">
        <is>
          <t>No Personal Data</t>
        </is>
      </c>
      <c r="F1046" s="12" t="inlineStr">
        <is>
          <t>PASS</t>
        </is>
      </c>
      <c r="G1046" t="inlineStr">
        <is>
          <t>BIM-core.EntityPersonalData</t>
        </is>
      </c>
      <c r="H1046" s="6" t="n"/>
    </row>
    <row r="1047">
      <c r="A1047" t="inlineStr">
        <is>
          <t>NCI_UOM_CONVERSION_PVS</t>
        </is>
      </c>
      <c r="B1047" t="inlineStr">
        <is>
          <t>Entity</t>
        </is>
      </c>
      <c r="C1047" t="inlineStr">
        <is>
          <t>FinancialPersonalData</t>
        </is>
      </c>
      <c r="D1047" s="6" t="inlineStr">
        <is>
          <t>No Financial Personal Data</t>
        </is>
      </c>
      <c r="E1047" s="6" t="inlineStr">
        <is>
          <t>No Financial Personal Data</t>
        </is>
      </c>
      <c r="F1047" s="12" t="inlineStr">
        <is>
          <t>PASS</t>
        </is>
      </c>
      <c r="G1047" t="inlineStr">
        <is>
          <t>BIM-core.FinancialPersonalData</t>
        </is>
      </c>
      <c r="H1047" s="6" t="n"/>
    </row>
    <row r="1048">
      <c r="A1048" t="inlineStr">
        <is>
          <t>NCI_UOM_CONVERSION_PVS</t>
        </is>
      </c>
      <c r="B1048" t="inlineStr">
        <is>
          <t>Entity</t>
        </is>
      </c>
      <c r="C1048" t="inlineStr">
        <is>
          <t>MTED_EDaM_Mapping_Note</t>
        </is>
      </c>
      <c r="D1048" s="6" t="inlineStr">
        <is>
          <t>{\rtf1\ansi\ansicpg1252\deff0\nouicompat\deflang2057{\fonttbl{\f0\fnil\fcharset0 Times New Roman;}}</t>
        </is>
      </c>
      <c r="E1048" s="6" t="inlineStr">
        <is>
          <t>{\rtf1\ansi\ansicpg1252\deff0\nouicompat\deflang2057{\fonttbl{\f0\fnil\fcharset0 Times New Roman;}}</t>
        </is>
      </c>
      <c r="F1048" s="12" t="inlineStr">
        <is>
          <t>PASS</t>
        </is>
      </c>
      <c r="G1048" t="inlineStr">
        <is>
          <t>BIM-core.MTED_EDaM_Mapping_Note</t>
        </is>
      </c>
      <c r="H1048" s="6" t="n"/>
    </row>
    <row r="1049">
      <c r="A1049" t="inlineStr">
        <is>
          <t>NCI_UOM_CONVERSION_PVS</t>
        </is>
      </c>
      <c r="B1049" t="inlineStr">
        <is>
          <t>Entity</t>
        </is>
      </c>
      <c r="C1049" t="inlineStr">
        <is>
          <t>MappingLevel</t>
        </is>
      </c>
      <c r="D1049" s="6" t="inlineStr">
        <is>
          <t>Application Specific</t>
        </is>
      </c>
      <c r="E1049" s="6" t="inlineStr">
        <is>
          <t>Application Specific</t>
        </is>
      </c>
      <c r="F1049" s="12" t="inlineStr">
        <is>
          <t>PASS</t>
        </is>
      </c>
      <c r="G1049" t="inlineStr">
        <is>
          <t>BIM-core.MappingLevel</t>
        </is>
      </c>
      <c r="H1049" s="6" t="n"/>
    </row>
    <row r="1050">
      <c r="A1050" t="inlineStr">
        <is>
          <t>NCI_UOM_CONVERSION_PVS</t>
        </is>
      </c>
      <c r="B1050" t="inlineStr">
        <is>
          <t>Entity</t>
        </is>
      </c>
      <c r="C1050" t="inlineStr">
        <is>
          <t>PD_ObjectID</t>
        </is>
      </c>
      <c r="D1050" s="6" t="inlineStr">
        <is>
          <t>DB51634D-E15C-4BA8-B3C9-D12197E28838</t>
        </is>
      </c>
      <c r="E1050" s="6" t="inlineStr">
        <is>
          <t>DB51634D-E15C-4BA8-B3C9-D12197E28838</t>
        </is>
      </c>
      <c r="F1050" s="12" t="inlineStr">
        <is>
          <t>PASS</t>
        </is>
      </c>
      <c r="H1050" s="6" t="n"/>
    </row>
    <row r="1051">
      <c r="A1051" t="inlineStr">
        <is>
          <t>NCI_UOM_CONVERSION_PVS</t>
        </is>
      </c>
      <c r="B1051" t="inlineStr">
        <is>
          <t>Entity</t>
        </is>
      </c>
      <c r="C1051" t="inlineStr">
        <is>
          <t>PD_SourceExtraction</t>
        </is>
      </c>
      <c r="D1051" s="6" t="inlineStr">
        <is>
          <t>46603045</t>
        </is>
      </c>
      <c r="E1051" s="6" t="inlineStr">
        <is>
          <t>46603045</t>
        </is>
      </c>
      <c r="F1051" s="12" t="inlineStr">
        <is>
          <t>PASS</t>
        </is>
      </c>
      <c r="H1051" s="6" t="n"/>
    </row>
    <row r="1052">
      <c r="A1052" t="inlineStr">
        <is>
          <t>NCI_UOM_CONVERSION_PVS</t>
        </is>
      </c>
      <c r="B1052" t="inlineStr">
        <is>
          <t>Entity</t>
        </is>
      </c>
      <c r="C1052" t="inlineStr">
        <is>
          <t>PD_SourceModel</t>
        </is>
      </c>
      <c r="D1052" s="6" t="inlineStr">
        <is>
          <t>05_Carbon_Calculator</t>
        </is>
      </c>
      <c r="E1052" s="6" t="inlineStr">
        <is>
          <t>05_Carbon_Calculator</t>
        </is>
      </c>
      <c r="F1052" s="12" t="inlineStr">
        <is>
          <t>PASS</t>
        </is>
      </c>
      <c r="H1052" s="6" t="n"/>
    </row>
    <row r="1053">
      <c r="A1053" t="inlineStr">
        <is>
          <t>NCI_UOM_CONVERSION_PVS</t>
        </is>
      </c>
      <c r="B1053" t="inlineStr">
        <is>
          <t>Entity</t>
        </is>
      </c>
      <c r="C1053" t="inlineStr">
        <is>
          <t>SensitivePersonalData</t>
        </is>
      </c>
      <c r="D1053" s="6" t="inlineStr">
        <is>
          <t>No Sensitive Personal Data</t>
        </is>
      </c>
      <c r="E1053" s="6" t="inlineStr">
        <is>
          <t>No Sensitive Personal Data</t>
        </is>
      </c>
      <c r="F1053" s="12" t="inlineStr">
        <is>
          <t>PASS</t>
        </is>
      </c>
      <c r="G1053" t="inlineStr">
        <is>
          <t>BIM-core.SensitivePersonalData</t>
        </is>
      </c>
      <c r="H1053" s="6" t="n"/>
    </row>
    <row r="1054">
      <c r="A1054" t="inlineStr">
        <is>
          <t>PARAMETER_TYPE</t>
        </is>
      </c>
      <c r="B1054" t="inlineStr">
        <is>
          <t>Entity</t>
        </is>
      </c>
      <c r="C1054" t="inlineStr">
        <is>
          <t>CSI</t>
        </is>
      </c>
      <c r="D1054" s="6" t="inlineStr">
        <is>
          <t>false</t>
        </is>
      </c>
      <c r="E1054" s="6" t="inlineStr">
        <is>
          <t>false</t>
        </is>
      </c>
      <c r="F1054" s="12" t="inlineStr">
        <is>
          <t>PASS</t>
        </is>
      </c>
      <c r="G1054" t="inlineStr">
        <is>
          <t>SHL_LDM_EntityPropertyExtension.CSI</t>
        </is>
      </c>
      <c r="H1054" s="6" t="n"/>
    </row>
    <row r="1055">
      <c r="A1055" t="inlineStr">
        <is>
          <t>PARAMETER_TYPE</t>
        </is>
      </c>
      <c r="B1055" t="inlineStr">
        <is>
          <t>Entity</t>
        </is>
      </c>
      <c r="C1055" t="inlineStr">
        <is>
          <t>CommerciallySensitiveInformation</t>
        </is>
      </c>
      <c r="D1055" s="6" t="inlineStr">
        <is>
          <t>No Commercially Sensitive Information</t>
        </is>
      </c>
      <c r="E1055" s="6" t="inlineStr">
        <is>
          <t>No Commercially Sensitive Information</t>
        </is>
      </c>
      <c r="F1055" s="12" t="inlineStr">
        <is>
          <t>PASS</t>
        </is>
      </c>
      <c r="G1055" t="inlineStr">
        <is>
          <t>BIM-core.CommerciallySensitiveInformation</t>
        </is>
      </c>
      <c r="H1055" s="6" t="n"/>
    </row>
    <row r="1056">
      <c r="A1056" t="inlineStr">
        <is>
          <t>PARAMETER_TYPE</t>
        </is>
      </c>
      <c r="B1056" t="inlineStr">
        <is>
          <t>Entity</t>
        </is>
      </c>
      <c r="C1056" t="inlineStr">
        <is>
          <t>Criticality</t>
        </is>
      </c>
      <c r="D1056" s="6" t="inlineStr">
        <is>
          <t>No Critical Data</t>
        </is>
      </c>
      <c r="E1056" s="6" t="inlineStr">
        <is>
          <t>No Critical Data</t>
        </is>
      </c>
      <c r="F1056" s="12" t="inlineStr">
        <is>
          <t>PASS</t>
        </is>
      </c>
      <c r="G1056" t="inlineStr">
        <is>
          <t>BIM-core.Criticality</t>
        </is>
      </c>
      <c r="H1056" s="6" t="n"/>
    </row>
    <row r="1057">
      <c r="A1057" t="inlineStr">
        <is>
          <t>PARAMETER_TYPE</t>
        </is>
      </c>
      <c r="B1057" t="inlineStr">
        <is>
          <t>Entity</t>
        </is>
      </c>
      <c r="C1057" t="inlineStr">
        <is>
          <t>DataCategory</t>
        </is>
      </c>
      <c r="D1057" s="6" t="inlineStr">
        <is>
          <t>Structured</t>
        </is>
      </c>
      <c r="E1057" s="6" t="inlineStr">
        <is>
          <t>Structured</t>
        </is>
      </c>
      <c r="F1057" s="12" t="inlineStr">
        <is>
          <t>PASS</t>
        </is>
      </c>
      <c r="G1057" t="inlineStr">
        <is>
          <t>BIM-core.DataCategory</t>
        </is>
      </c>
      <c r="H1057" s="6" t="n"/>
    </row>
    <row r="1058">
      <c r="A1058" t="inlineStr">
        <is>
          <t>PARAMETER_TYPE</t>
        </is>
      </c>
      <c r="B1058" t="inlineStr">
        <is>
          <t>Entity</t>
        </is>
      </c>
      <c r="C1058" t="inlineStr">
        <is>
          <t>DataConfidentiality</t>
        </is>
      </c>
      <c r="D1058" s="6" t="inlineStr">
        <is>
          <t>Internal</t>
        </is>
      </c>
      <c r="E1058" s="6" t="inlineStr">
        <is>
          <t>Internal</t>
        </is>
      </c>
      <c r="F1058" s="12" t="inlineStr">
        <is>
          <t>PASS</t>
        </is>
      </c>
      <c r="G1058" t="inlineStr">
        <is>
          <t>BIM-core.DataConfidentiality</t>
        </is>
      </c>
      <c r="H1058" s="6" t="n"/>
    </row>
    <row r="1059">
      <c r="A1059" t="inlineStr">
        <is>
          <t>PARAMETER_TYPE</t>
        </is>
      </c>
      <c r="B1059" t="inlineStr">
        <is>
          <t>Entity</t>
        </is>
      </c>
      <c r="C1059" t="inlineStr">
        <is>
          <t>DesignStatus</t>
        </is>
      </c>
      <c r="D1059" s="6" t="inlineStr">
        <is>
          <t>Approved</t>
        </is>
      </c>
      <c r="E1059" s="6" t="inlineStr">
        <is>
          <t>Approved</t>
        </is>
      </c>
      <c r="F1059" s="12" t="inlineStr">
        <is>
          <t>PASS</t>
        </is>
      </c>
      <c r="G1059" t="inlineStr">
        <is>
          <t>BIM-core.DesignStatus</t>
        </is>
      </c>
      <c r="H1059" s="6" t="n"/>
    </row>
    <row r="1060">
      <c r="A1060" t="inlineStr">
        <is>
          <t>PARAMETER_TYPE</t>
        </is>
      </c>
      <c r="B1060" t="inlineStr">
        <is>
          <t>Entity</t>
        </is>
      </c>
      <c r="C1060" t="inlineStr">
        <is>
          <t>EntityCategory</t>
        </is>
      </c>
      <c r="D1060" s="6" t="inlineStr">
        <is>
          <t>Master</t>
        </is>
      </c>
      <c r="E1060" s="6" t="inlineStr">
        <is>
          <t>Master</t>
        </is>
      </c>
      <c r="F1060" s="12" t="inlineStr">
        <is>
          <t>PASS</t>
        </is>
      </c>
      <c r="G1060" t="inlineStr">
        <is>
          <t>BIM-core.EntityCategory</t>
        </is>
      </c>
      <c r="H1060" s="6" t="n"/>
    </row>
    <row r="1061">
      <c r="A1061" t="inlineStr">
        <is>
          <t>PARAMETER_TYPE</t>
        </is>
      </c>
      <c r="B1061" t="inlineStr">
        <is>
          <t>Entity</t>
        </is>
      </c>
      <c r="C1061" t="inlineStr">
        <is>
          <t>EntityPersonalData</t>
        </is>
      </c>
      <c r="D1061" s="6" t="inlineStr">
        <is>
          <t>No Personal Data</t>
        </is>
      </c>
      <c r="E1061" s="6" t="inlineStr">
        <is>
          <t>No Personal Data</t>
        </is>
      </c>
      <c r="F1061" s="12" t="inlineStr">
        <is>
          <t>PASS</t>
        </is>
      </c>
      <c r="G1061" t="inlineStr">
        <is>
          <t>BIM-core.EntityPersonalData</t>
        </is>
      </c>
      <c r="H1061" s="6" t="n"/>
    </row>
    <row r="1062">
      <c r="A1062" t="inlineStr">
        <is>
          <t>PARAMETER_TYPE</t>
        </is>
      </c>
      <c r="B1062" t="inlineStr">
        <is>
          <t>Entity</t>
        </is>
      </c>
      <c r="C1062" t="inlineStr">
        <is>
          <t>FinancialPersonalData</t>
        </is>
      </c>
      <c r="D1062" s="6" t="inlineStr">
        <is>
          <t>No Financial Personal Data</t>
        </is>
      </c>
      <c r="E1062" s="6" t="inlineStr">
        <is>
          <t>No Financial Personal Data</t>
        </is>
      </c>
      <c r="F1062" s="12" t="inlineStr">
        <is>
          <t>PASS</t>
        </is>
      </c>
      <c r="G1062" t="inlineStr">
        <is>
          <t>BIM-core.FinancialPersonalData</t>
        </is>
      </c>
      <c r="H1062" s="6" t="n"/>
    </row>
    <row r="1063">
      <c r="A1063" t="inlineStr">
        <is>
          <t>PARAMETER_TYPE</t>
        </is>
      </c>
      <c r="B1063" t="inlineStr">
        <is>
          <t>Entity</t>
        </is>
      </c>
      <c r="C1063" t="inlineStr">
        <is>
          <t>MTED_Encryption_Required</t>
        </is>
      </c>
      <c r="D1063" s="6" t="inlineStr">
        <is>
          <t>false</t>
        </is>
      </c>
      <c r="E1063" s="6" t="inlineStr">
        <is>
          <t>false</t>
        </is>
      </c>
      <c r="F1063" s="12" t="inlineStr">
        <is>
          <t>PASS</t>
        </is>
      </c>
      <c r="G1063" t="inlineStr">
        <is>
          <t>SHL_LDM_EntityPropertyExtension.MTED_Encryption_Required</t>
        </is>
      </c>
      <c r="H1063" s="6" t="n"/>
    </row>
    <row r="1064">
      <c r="A1064" t="inlineStr">
        <is>
          <t>PARAMETER_TYPE</t>
        </is>
      </c>
      <c r="B1064" t="inlineStr">
        <is>
          <t>Entity</t>
        </is>
      </c>
      <c r="C1064" t="inlineStr">
        <is>
          <t>MappingLevel</t>
        </is>
      </c>
      <c r="D1064" s="6" t="inlineStr">
        <is>
          <t>BLM</t>
        </is>
      </c>
      <c r="E1064" s="6" t="inlineStr">
        <is>
          <t>BLM</t>
        </is>
      </c>
      <c r="F1064" s="12" t="inlineStr">
        <is>
          <t>PASS</t>
        </is>
      </c>
      <c r="G1064" t="inlineStr">
        <is>
          <t>BIM-core.MappingLevel</t>
        </is>
      </c>
      <c r="H1064" s="6" t="n"/>
    </row>
    <row r="1065">
      <c r="A1065" t="inlineStr">
        <is>
          <t>PARAMETER_TYPE</t>
        </is>
      </c>
      <c r="B1065" t="inlineStr">
        <is>
          <t>Entity</t>
        </is>
      </c>
      <c r="C1065" t="inlineStr">
        <is>
          <t>MapsToEntity</t>
        </is>
      </c>
      <c r="D1065" s="6" t="inlineStr">
        <is>
          <t>PARAMETER_TYPE</t>
        </is>
      </c>
      <c r="E1065" s="6" t="inlineStr">
        <is>
          <t>PARAMETER_TYPE</t>
        </is>
      </c>
      <c r="F1065" s="12" t="inlineStr">
        <is>
          <t>PASS</t>
        </is>
      </c>
      <c r="G1065" t="inlineStr">
        <is>
          <t>BIM-core.MapsToEntity</t>
        </is>
      </c>
      <c r="H1065" s="6" t="n"/>
    </row>
    <row r="1066">
      <c r="A1066" t="inlineStr">
        <is>
          <t>PARAMETER_TYPE</t>
        </is>
      </c>
      <c r="B1066" t="inlineStr">
        <is>
          <t>Entity</t>
        </is>
      </c>
      <c r="C1066" t="inlineStr">
        <is>
          <t>PD_ObjectID</t>
        </is>
      </c>
      <c r="D1066" s="6" t="inlineStr">
        <is>
          <t>65BC2CC6-353E-4F2B-A9E6-BC545309FDB5</t>
        </is>
      </c>
      <c r="E1066" s="6" t="inlineStr">
        <is>
          <t>65BC2CC6-353E-4F2B-A9E6-BC545309FDB5</t>
        </is>
      </c>
      <c r="F1066" s="12" t="inlineStr">
        <is>
          <t>PASS</t>
        </is>
      </c>
      <c r="H1066" s="6" t="n"/>
    </row>
    <row r="1067">
      <c r="A1067" t="inlineStr">
        <is>
          <t>PARAMETER_TYPE</t>
        </is>
      </c>
      <c r="B1067" t="inlineStr">
        <is>
          <t>Entity</t>
        </is>
      </c>
      <c r="C1067" t="inlineStr">
        <is>
          <t>PD_SourceExtraction</t>
        </is>
      </c>
      <c r="D1067" s="6" t="inlineStr">
        <is>
          <t>46603045</t>
        </is>
      </c>
      <c r="E1067" s="6" t="inlineStr">
        <is>
          <t>46603045</t>
        </is>
      </c>
      <c r="F1067" s="12" t="inlineStr">
        <is>
          <t>PASS</t>
        </is>
      </c>
      <c r="H1067" s="6" t="n"/>
    </row>
    <row r="1068">
      <c r="A1068" t="inlineStr">
        <is>
          <t>PARAMETER_TYPE</t>
        </is>
      </c>
      <c r="B1068" t="inlineStr">
        <is>
          <t>Entity</t>
        </is>
      </c>
      <c r="C1068" t="inlineStr">
        <is>
          <t>PD_SourceModel</t>
        </is>
      </c>
      <c r="D1068" s="6" t="inlineStr">
        <is>
          <t>05_Carbon_Calculator</t>
        </is>
      </c>
      <c r="E1068" s="6" t="inlineStr">
        <is>
          <t>05_Carbon_Calculator</t>
        </is>
      </c>
      <c r="F1068" s="12" t="inlineStr">
        <is>
          <t>PASS</t>
        </is>
      </c>
      <c r="H1068" s="6" t="n"/>
    </row>
    <row r="1069">
      <c r="A1069" t="inlineStr">
        <is>
          <t>PARAMETER_TYPE</t>
        </is>
      </c>
      <c r="B1069" t="inlineStr">
        <is>
          <t>Entity</t>
        </is>
      </c>
      <c r="C1069" t="inlineStr">
        <is>
          <t>SensitivePersonalData</t>
        </is>
      </c>
      <c r="D1069" s="6" t="inlineStr">
        <is>
          <t>No Sensitive Personal Data</t>
        </is>
      </c>
      <c r="E1069" s="6" t="inlineStr">
        <is>
          <t>No Sensitive Personal Data</t>
        </is>
      </c>
      <c r="F1069" s="12" t="inlineStr">
        <is>
          <t>PASS</t>
        </is>
      </c>
      <c r="G1069" t="inlineStr">
        <is>
          <t>BIM-core.SensitivePersonalData</t>
        </is>
      </c>
      <c r="H1069" s="6" t="n"/>
    </row>
    <row r="1070">
      <c r="A1070" t="inlineStr">
        <is>
          <t>PARAMETER_VALUE_SET</t>
        </is>
      </c>
      <c r="B1070" t="inlineStr">
        <is>
          <t>Entity</t>
        </is>
      </c>
      <c r="C1070" t="inlineStr">
        <is>
          <t>CSI</t>
        </is>
      </c>
      <c r="D1070" s="6" t="inlineStr">
        <is>
          <t>false</t>
        </is>
      </c>
      <c r="E1070" s="6" t="inlineStr">
        <is>
          <t>false</t>
        </is>
      </c>
      <c r="F1070" s="12" t="inlineStr">
        <is>
          <t>PASS</t>
        </is>
      </c>
      <c r="G1070" t="inlineStr">
        <is>
          <t>SHL_LDM_EntityPropertyExtension.CSI</t>
        </is>
      </c>
      <c r="H1070" s="6" t="n"/>
    </row>
    <row r="1071">
      <c r="A1071" t="inlineStr">
        <is>
          <t>PARAMETER_VALUE_SET</t>
        </is>
      </c>
      <c r="B1071" t="inlineStr">
        <is>
          <t>Entity</t>
        </is>
      </c>
      <c r="C1071" t="inlineStr">
        <is>
          <t>CommerciallySensitiveInformation</t>
        </is>
      </c>
      <c r="D1071" s="6" t="inlineStr">
        <is>
          <t>No Commercially Sensitive Information</t>
        </is>
      </c>
      <c r="E1071" s="6" t="inlineStr">
        <is>
          <t>No Commercially Sensitive Information</t>
        </is>
      </c>
      <c r="F1071" s="12" t="inlineStr">
        <is>
          <t>PASS</t>
        </is>
      </c>
      <c r="G1071" t="inlineStr">
        <is>
          <t>BIM-core.CommerciallySensitiveInformation</t>
        </is>
      </c>
      <c r="H1071" s="6" t="n"/>
    </row>
    <row r="1072">
      <c r="A1072" t="inlineStr">
        <is>
          <t>PARAMETER_VALUE_SET</t>
        </is>
      </c>
      <c r="B1072" t="inlineStr">
        <is>
          <t>Entity</t>
        </is>
      </c>
      <c r="C1072" t="inlineStr">
        <is>
          <t>Criticality</t>
        </is>
      </c>
      <c r="D1072" s="6" t="inlineStr">
        <is>
          <t>No Critical Data</t>
        </is>
      </c>
      <c r="E1072" s="6" t="inlineStr">
        <is>
          <t>No Critical Data</t>
        </is>
      </c>
      <c r="F1072" s="12" t="inlineStr">
        <is>
          <t>PASS</t>
        </is>
      </c>
      <c r="G1072" t="inlineStr">
        <is>
          <t>BIM-core.Criticality</t>
        </is>
      </c>
      <c r="H1072" s="6" t="n"/>
    </row>
    <row r="1073">
      <c r="A1073" t="inlineStr">
        <is>
          <t>PARAMETER_VALUE_SET</t>
        </is>
      </c>
      <c r="B1073" t="inlineStr">
        <is>
          <t>Entity</t>
        </is>
      </c>
      <c r="C1073" t="inlineStr">
        <is>
          <t>DataCategory</t>
        </is>
      </c>
      <c r="D1073" s="6" t="inlineStr">
        <is>
          <t>Structured</t>
        </is>
      </c>
      <c r="E1073" s="6" t="inlineStr">
        <is>
          <t>Structured</t>
        </is>
      </c>
      <c r="F1073" s="12" t="inlineStr">
        <is>
          <t>PASS</t>
        </is>
      </c>
      <c r="G1073" t="inlineStr">
        <is>
          <t>BIM-core.DataCategory</t>
        </is>
      </c>
      <c r="H1073" s="6" t="n"/>
    </row>
    <row r="1074">
      <c r="A1074" t="inlineStr">
        <is>
          <t>PARAMETER_VALUE_SET</t>
        </is>
      </c>
      <c r="B1074" t="inlineStr">
        <is>
          <t>Entity</t>
        </is>
      </c>
      <c r="C1074" t="inlineStr">
        <is>
          <t>DataConfidentiality</t>
        </is>
      </c>
      <c r="D1074" s="6" t="inlineStr">
        <is>
          <t>Internal</t>
        </is>
      </c>
      <c r="E1074" s="6" t="inlineStr">
        <is>
          <t>Internal</t>
        </is>
      </c>
      <c r="F1074" s="12" t="inlineStr">
        <is>
          <t>PASS</t>
        </is>
      </c>
      <c r="G1074" t="inlineStr">
        <is>
          <t>BIM-core.DataConfidentiality</t>
        </is>
      </c>
      <c r="H1074" s="6" t="n"/>
    </row>
    <row r="1075">
      <c r="A1075" t="inlineStr">
        <is>
          <t>PARAMETER_VALUE_SET</t>
        </is>
      </c>
      <c r="B1075" t="inlineStr">
        <is>
          <t>Entity</t>
        </is>
      </c>
      <c r="C1075" t="inlineStr">
        <is>
          <t>DesignStatus</t>
        </is>
      </c>
      <c r="D1075" s="6" t="inlineStr">
        <is>
          <t>Approved</t>
        </is>
      </c>
      <c r="E1075" s="6" t="inlineStr">
        <is>
          <t>Approved</t>
        </is>
      </c>
      <c r="F1075" s="12" t="inlineStr">
        <is>
          <t>PASS</t>
        </is>
      </c>
      <c r="G1075" t="inlineStr">
        <is>
          <t>BIM-core.DesignStatus</t>
        </is>
      </c>
      <c r="H1075" s="6" t="n"/>
    </row>
    <row r="1076">
      <c r="A1076" t="inlineStr">
        <is>
          <t>PARAMETER_VALUE_SET</t>
        </is>
      </c>
      <c r="B1076" t="inlineStr">
        <is>
          <t>Entity</t>
        </is>
      </c>
      <c r="C1076" t="inlineStr">
        <is>
          <t>EntityCategory</t>
        </is>
      </c>
      <c r="D1076" s="6" t="inlineStr">
        <is>
          <t>Master</t>
        </is>
      </c>
      <c r="E1076" s="6" t="inlineStr">
        <is>
          <t>Master</t>
        </is>
      </c>
      <c r="F1076" s="12" t="inlineStr">
        <is>
          <t>PASS</t>
        </is>
      </c>
      <c r="G1076" t="inlineStr">
        <is>
          <t>BIM-core.EntityCategory</t>
        </is>
      </c>
      <c r="H1076" s="6" t="n"/>
    </row>
    <row r="1077">
      <c r="A1077" t="inlineStr">
        <is>
          <t>PARAMETER_VALUE_SET</t>
        </is>
      </c>
      <c r="B1077" t="inlineStr">
        <is>
          <t>Entity</t>
        </is>
      </c>
      <c r="C1077" t="inlineStr">
        <is>
          <t>EntityPersonalData</t>
        </is>
      </c>
      <c r="D1077" s="6" t="inlineStr">
        <is>
          <t>No Personal Data</t>
        </is>
      </c>
      <c r="E1077" s="6" t="inlineStr">
        <is>
          <t>No Personal Data</t>
        </is>
      </c>
      <c r="F1077" s="12" t="inlineStr">
        <is>
          <t>PASS</t>
        </is>
      </c>
      <c r="G1077" t="inlineStr">
        <is>
          <t>BIM-core.EntityPersonalData</t>
        </is>
      </c>
      <c r="H1077" s="6" t="n"/>
    </row>
    <row r="1078">
      <c r="A1078" t="inlineStr">
        <is>
          <t>PARAMETER_VALUE_SET</t>
        </is>
      </c>
      <c r="B1078" t="inlineStr">
        <is>
          <t>Entity</t>
        </is>
      </c>
      <c r="C1078" t="inlineStr">
        <is>
          <t>FinancialPersonalData</t>
        </is>
      </c>
      <c r="D1078" s="6" t="inlineStr">
        <is>
          <t>No Financial Personal Data</t>
        </is>
      </c>
      <c r="E1078" s="6" t="inlineStr">
        <is>
          <t>No Financial Personal Data</t>
        </is>
      </c>
      <c r="F1078" s="12" t="inlineStr">
        <is>
          <t>PASS</t>
        </is>
      </c>
      <c r="G1078" t="inlineStr">
        <is>
          <t>BIM-core.FinancialPersonalData</t>
        </is>
      </c>
      <c r="H1078" s="6" t="n"/>
    </row>
    <row r="1079">
      <c r="A1079" t="inlineStr">
        <is>
          <t>PARAMETER_VALUE_SET</t>
        </is>
      </c>
      <c r="B1079" t="inlineStr">
        <is>
          <t>Entity</t>
        </is>
      </c>
      <c r="C1079" t="inlineStr">
        <is>
          <t>MTED_EDaM_Mapping_Note</t>
        </is>
      </c>
      <c r="D1079" s="6" t="inlineStr">
        <is>
          <t>{\rtf1\ansi\ansicpg1252\deff0\nouicompat\deflang2057{\fonttbl{\f0\fnil\fcharset0 Times New Roman;}}</t>
        </is>
      </c>
      <c r="E1079" s="6" t="inlineStr">
        <is>
          <t>{\rtf1\ansi\ansicpg1252\deff0\nouicompat\deflang2057{\fonttbl{\f0\fnil\fcharset0 Times New Roman;}}</t>
        </is>
      </c>
      <c r="F1079" s="12" t="inlineStr">
        <is>
          <t>PASS</t>
        </is>
      </c>
      <c r="G1079" t="inlineStr">
        <is>
          <t>BIM-core.MTED_EDaM_Mapping_Note</t>
        </is>
      </c>
      <c r="H1079" s="6" t="n"/>
    </row>
    <row r="1080">
      <c r="A1080" t="inlineStr">
        <is>
          <t>PARAMETER_VALUE_SET</t>
        </is>
      </c>
      <c r="B1080" t="inlineStr">
        <is>
          <t>Entity</t>
        </is>
      </c>
      <c r="C1080" t="inlineStr">
        <is>
          <t>MTED_Encryption_Required</t>
        </is>
      </c>
      <c r="D1080" s="6" t="inlineStr">
        <is>
          <t>false</t>
        </is>
      </c>
      <c r="E1080" s="6" t="inlineStr">
        <is>
          <t>false</t>
        </is>
      </c>
      <c r="F1080" s="12" t="inlineStr">
        <is>
          <t>PASS</t>
        </is>
      </c>
      <c r="G1080" t="inlineStr">
        <is>
          <t>SHL_LDM_EntityPropertyExtension.MTED_Encryption_Required</t>
        </is>
      </c>
      <c r="H1080" s="6" t="n"/>
    </row>
    <row r="1081">
      <c r="A1081" t="inlineStr">
        <is>
          <t>PARAMETER_VALUE_SET</t>
        </is>
      </c>
      <c r="B1081" t="inlineStr">
        <is>
          <t>Entity</t>
        </is>
      </c>
      <c r="C1081" t="inlineStr">
        <is>
          <t>MappingLevel</t>
        </is>
      </c>
      <c r="D1081" s="6" t="inlineStr">
        <is>
          <t>Application Specific</t>
        </is>
      </c>
      <c r="E1081" s="6" t="inlineStr">
        <is>
          <t>Application Specific</t>
        </is>
      </c>
      <c r="F1081" s="12" t="inlineStr">
        <is>
          <t>PASS</t>
        </is>
      </c>
      <c r="G1081" t="inlineStr">
        <is>
          <t>BIM-core.MappingLevel</t>
        </is>
      </c>
      <c r="H1081" s="6" t="n"/>
    </row>
    <row r="1082">
      <c r="A1082" t="inlineStr">
        <is>
          <t>PARAMETER_VALUE_SET</t>
        </is>
      </c>
      <c r="B1082" t="inlineStr">
        <is>
          <t>Entity</t>
        </is>
      </c>
      <c r="C1082" t="inlineStr">
        <is>
          <t>PD_ObjectID</t>
        </is>
      </c>
      <c r="D1082" s="6" t="inlineStr">
        <is>
          <t>6F97EC91-4834-49FF-BC67-616E3A46E9D8</t>
        </is>
      </c>
      <c r="E1082" s="6" t="inlineStr">
        <is>
          <t>6F97EC91-4834-49FF-BC67-616E3A46E9D8</t>
        </is>
      </c>
      <c r="F1082" s="12" t="inlineStr">
        <is>
          <t>PASS</t>
        </is>
      </c>
      <c r="H1082" s="6" t="n"/>
    </row>
    <row r="1083">
      <c r="A1083" t="inlineStr">
        <is>
          <t>PARAMETER_VALUE_SET</t>
        </is>
      </c>
      <c r="B1083" t="inlineStr">
        <is>
          <t>Entity</t>
        </is>
      </c>
      <c r="C1083" t="inlineStr">
        <is>
          <t>PD_SourceExtraction</t>
        </is>
      </c>
      <c r="D1083" s="6" t="inlineStr">
        <is>
          <t>46603045</t>
        </is>
      </c>
      <c r="E1083" s="6" t="inlineStr">
        <is>
          <t>46603045</t>
        </is>
      </c>
      <c r="F1083" s="12" t="inlineStr">
        <is>
          <t>PASS</t>
        </is>
      </c>
      <c r="H1083" s="6" t="n"/>
    </row>
    <row r="1084">
      <c r="A1084" t="inlineStr">
        <is>
          <t>PARAMETER_VALUE_SET</t>
        </is>
      </c>
      <c r="B1084" t="inlineStr">
        <is>
          <t>Entity</t>
        </is>
      </c>
      <c r="C1084" t="inlineStr">
        <is>
          <t>PD_SourceModel</t>
        </is>
      </c>
      <c r="D1084" s="6" t="inlineStr">
        <is>
          <t>05_Carbon_Calculator</t>
        </is>
      </c>
      <c r="E1084" s="6" t="inlineStr">
        <is>
          <t>05_Carbon_Calculator</t>
        </is>
      </c>
      <c r="F1084" s="12" t="inlineStr">
        <is>
          <t>PASS</t>
        </is>
      </c>
      <c r="H1084" s="6" t="n"/>
    </row>
    <row r="1085">
      <c r="A1085" t="inlineStr">
        <is>
          <t>PARAMETER_VALUE_SET</t>
        </is>
      </c>
      <c r="B1085" t="inlineStr">
        <is>
          <t>Entity</t>
        </is>
      </c>
      <c r="C1085" t="inlineStr">
        <is>
          <t>SensitivePersonalData</t>
        </is>
      </c>
      <c r="D1085" s="6" t="inlineStr">
        <is>
          <t>No Sensitive Personal Data</t>
        </is>
      </c>
      <c r="E1085" s="6" t="inlineStr">
        <is>
          <t>No Sensitive Personal Data</t>
        </is>
      </c>
      <c r="F1085" s="12" t="inlineStr">
        <is>
          <t>PASS</t>
        </is>
      </c>
      <c r="G1085" t="inlineStr">
        <is>
          <t>BIM-core.SensitivePersonalData</t>
        </is>
      </c>
      <c r="H1085" s="6" t="n"/>
    </row>
    <row r="1086">
      <c r="A1086" t="inlineStr">
        <is>
          <t>PCF_CLIENT_DIMENSION_VALUE</t>
        </is>
      </c>
      <c r="B1086" t="inlineStr">
        <is>
          <t>Entity</t>
        </is>
      </c>
      <c r="C1086" t="inlineStr">
        <is>
          <t>CSI</t>
        </is>
      </c>
      <c r="D1086" s="6" t="inlineStr">
        <is>
          <t>false</t>
        </is>
      </c>
      <c r="E1086" s="6" t="inlineStr">
        <is>
          <t>false</t>
        </is>
      </c>
      <c r="F1086" s="12" t="inlineStr">
        <is>
          <t>PASS</t>
        </is>
      </c>
      <c r="G1086" t="inlineStr">
        <is>
          <t>SHL_LDM_EntityPropertyExtension.CSI</t>
        </is>
      </c>
      <c r="H1086" s="6" t="n"/>
    </row>
    <row r="1087">
      <c r="A1087" t="inlineStr">
        <is>
          <t>PCF_CLIENT_DIMENSION_VALUE</t>
        </is>
      </c>
      <c r="B1087" t="inlineStr">
        <is>
          <t>Entity</t>
        </is>
      </c>
      <c r="C1087" t="inlineStr">
        <is>
          <t>CommerciallySensitiveInformation</t>
        </is>
      </c>
      <c r="D1087" s="6" t="inlineStr">
        <is>
          <t>No Commercially Sensitive Information</t>
        </is>
      </c>
      <c r="E1087" s="6" t="inlineStr">
        <is>
          <t>No Commercially Sensitive Information</t>
        </is>
      </c>
      <c r="F1087" s="12" t="inlineStr">
        <is>
          <t>PASS</t>
        </is>
      </c>
      <c r="G1087" t="inlineStr">
        <is>
          <t>BIM-core.CommerciallySensitiveInformation</t>
        </is>
      </c>
      <c r="H1087" s="6" t="n"/>
    </row>
    <row r="1088">
      <c r="A1088" t="inlineStr">
        <is>
          <t>PCF_CLIENT_DIMENSION_VALUE</t>
        </is>
      </c>
      <c r="B1088" t="inlineStr">
        <is>
          <t>Entity</t>
        </is>
      </c>
      <c r="C1088" t="inlineStr">
        <is>
          <t>Criticality</t>
        </is>
      </c>
      <c r="D1088" s="6" t="inlineStr">
        <is>
          <t>No Critical Data</t>
        </is>
      </c>
      <c r="E1088" s="6" t="inlineStr">
        <is>
          <t>No Critical Data</t>
        </is>
      </c>
      <c r="F1088" s="12" t="inlineStr">
        <is>
          <t>PASS</t>
        </is>
      </c>
      <c r="G1088" t="inlineStr">
        <is>
          <t>BIM-core.Criticality</t>
        </is>
      </c>
      <c r="H1088" s="6" t="n"/>
    </row>
    <row r="1089">
      <c r="A1089" t="inlineStr">
        <is>
          <t>PCF_CLIENT_DIMENSION_VALUE</t>
        </is>
      </c>
      <c r="B1089" t="inlineStr">
        <is>
          <t>Entity</t>
        </is>
      </c>
      <c r="C1089" t="inlineStr">
        <is>
          <t>DataCategory</t>
        </is>
      </c>
      <c r="D1089" s="6" t="inlineStr">
        <is>
          <t>Structured</t>
        </is>
      </c>
      <c r="E1089" s="6" t="inlineStr">
        <is>
          <t>Structured</t>
        </is>
      </c>
      <c r="F1089" s="12" t="inlineStr">
        <is>
          <t>PASS</t>
        </is>
      </c>
      <c r="G1089" t="inlineStr">
        <is>
          <t>BIM-core.DataCategory</t>
        </is>
      </c>
      <c r="H1089" s="6" t="n"/>
    </row>
    <row r="1090">
      <c r="A1090" t="inlineStr">
        <is>
          <t>PCF_CLIENT_DIMENSION_VALUE</t>
        </is>
      </c>
      <c r="B1090" t="inlineStr">
        <is>
          <t>Entity</t>
        </is>
      </c>
      <c r="C1090" t="inlineStr">
        <is>
          <t>DataConfidentiality</t>
        </is>
      </c>
      <c r="D1090" s="6" t="inlineStr">
        <is>
          <t>Internal</t>
        </is>
      </c>
      <c r="E1090" s="6" t="inlineStr">
        <is>
          <t>Internal</t>
        </is>
      </c>
      <c r="F1090" s="12" t="inlineStr">
        <is>
          <t>PASS</t>
        </is>
      </c>
      <c r="G1090" t="inlineStr">
        <is>
          <t>BIM-core.DataConfidentiality</t>
        </is>
      </c>
      <c r="H1090" s="6" t="n"/>
    </row>
    <row r="1091">
      <c r="A1091" t="inlineStr">
        <is>
          <t>PCF_CLIENT_DIMENSION_VALUE</t>
        </is>
      </c>
      <c r="B1091" t="inlineStr">
        <is>
          <t>Entity</t>
        </is>
      </c>
      <c r="C1091" t="inlineStr">
        <is>
          <t>DesignStatus</t>
        </is>
      </c>
      <c r="D1091" s="6" t="inlineStr">
        <is>
          <t>Approved</t>
        </is>
      </c>
      <c r="E1091" s="6" t="inlineStr">
        <is>
          <t>Approved</t>
        </is>
      </c>
      <c r="F1091" s="12" t="inlineStr">
        <is>
          <t>PASS</t>
        </is>
      </c>
      <c r="G1091" t="inlineStr">
        <is>
          <t>BIM-core.DesignStatus</t>
        </is>
      </c>
      <c r="H1091" s="6" t="n"/>
    </row>
    <row r="1092">
      <c r="A1092" t="inlineStr">
        <is>
          <t>PCF_CLIENT_DIMENSION_VALUE</t>
        </is>
      </c>
      <c r="B1092" t="inlineStr">
        <is>
          <t>Entity</t>
        </is>
      </c>
      <c r="C1092" t="inlineStr">
        <is>
          <t>EntityCategory</t>
        </is>
      </c>
      <c r="D1092" s="6" t="inlineStr">
        <is>
          <t>External Reference</t>
        </is>
      </c>
      <c r="E1092" s="6" t="inlineStr">
        <is>
          <t>External Reference</t>
        </is>
      </c>
      <c r="F1092" s="12" t="inlineStr">
        <is>
          <t>PASS</t>
        </is>
      </c>
      <c r="G1092" t="inlineStr">
        <is>
          <t>BIM-core.EntityCategory</t>
        </is>
      </c>
      <c r="H1092" s="6" t="n"/>
    </row>
    <row r="1093">
      <c r="A1093" t="inlineStr">
        <is>
          <t>PCF_CLIENT_DIMENSION_VALUE</t>
        </is>
      </c>
      <c r="B1093" t="inlineStr">
        <is>
          <t>Entity</t>
        </is>
      </c>
      <c r="C1093" t="inlineStr">
        <is>
          <t>EntityPersonalData</t>
        </is>
      </c>
      <c r="D1093" s="6" t="inlineStr">
        <is>
          <t>No Personal Data</t>
        </is>
      </c>
      <c r="E1093" s="6" t="inlineStr">
        <is>
          <t>No Personal Data</t>
        </is>
      </c>
      <c r="F1093" s="12" t="inlineStr">
        <is>
          <t>PASS</t>
        </is>
      </c>
      <c r="G1093" t="inlineStr">
        <is>
          <t>BIM-core.EntityPersonalData</t>
        </is>
      </c>
      <c r="H1093" s="6" t="n"/>
    </row>
    <row r="1094">
      <c r="A1094" t="inlineStr">
        <is>
          <t>PCF_CLIENT_DIMENSION_VALUE</t>
        </is>
      </c>
      <c r="B1094" t="inlineStr">
        <is>
          <t>Entity</t>
        </is>
      </c>
      <c r="C1094" t="inlineStr">
        <is>
          <t>FinancialPersonalData</t>
        </is>
      </c>
      <c r="D1094" s="6" t="inlineStr">
        <is>
          <t>No Financial Personal Data</t>
        </is>
      </c>
      <c r="E1094" s="6" t="inlineStr">
        <is>
          <t>No Financial Personal Data</t>
        </is>
      </c>
      <c r="F1094" s="12" t="inlineStr">
        <is>
          <t>PASS</t>
        </is>
      </c>
      <c r="G1094" t="inlineStr">
        <is>
          <t>BIM-core.FinancialPersonalData</t>
        </is>
      </c>
      <c r="H1094" s="6" t="n"/>
    </row>
    <row r="1095">
      <c r="A1095" t="inlineStr">
        <is>
          <t>PCF_CLIENT_DIMENSION_VALUE</t>
        </is>
      </c>
      <c r="B1095" t="inlineStr">
        <is>
          <t>Entity</t>
        </is>
      </c>
      <c r="C1095" t="inlineStr">
        <is>
          <t>MTED_EDaM_Mapping_Note</t>
        </is>
      </c>
      <c r="D1095" s="6" t="inlineStr">
        <is>
          <t>{\rtf1\ansi\ansicpg1252\deff0\nouicompat\deflang2057{\fonttbl{\f0\fnil\fcharset0 Times New Roman;}}</t>
        </is>
      </c>
      <c r="E1095" s="6" t="inlineStr">
        <is>
          <t>{\rtf1\ansi\ansicpg1252\deff0\nouicompat\deflang2057{\fonttbl{\f0\fnil\fcharset0 Times New Roman;}}</t>
        </is>
      </c>
      <c r="F1095" s="12" t="inlineStr">
        <is>
          <t>PASS</t>
        </is>
      </c>
      <c r="G1095" t="inlineStr">
        <is>
          <t>BIM-core.MTED_EDaM_Mapping_Note</t>
        </is>
      </c>
      <c r="H1095" s="6" t="n"/>
    </row>
    <row r="1096">
      <c r="A1096" t="inlineStr">
        <is>
          <t>PCF_CLIENT_DIMENSION_VALUE</t>
        </is>
      </c>
      <c r="B1096" t="inlineStr">
        <is>
          <t>Entity</t>
        </is>
      </c>
      <c r="C1096" t="inlineStr">
        <is>
          <t>MTED_Encryption_Required</t>
        </is>
      </c>
      <c r="D1096" s="6" t="inlineStr">
        <is>
          <t>false</t>
        </is>
      </c>
      <c r="E1096" s="6" t="inlineStr">
        <is>
          <t>false</t>
        </is>
      </c>
      <c r="F1096" s="12" t="inlineStr">
        <is>
          <t>PASS</t>
        </is>
      </c>
      <c r="G1096" t="inlineStr">
        <is>
          <t>SHL_LDM_EntityPropertyExtension.MTED_Encryption_Required</t>
        </is>
      </c>
      <c r="H1096" s="6" t="n"/>
    </row>
    <row r="1097">
      <c r="A1097" t="inlineStr">
        <is>
          <t>PCF_CLIENT_DIMENSION_VALUE</t>
        </is>
      </c>
      <c r="B1097" t="inlineStr">
        <is>
          <t>Entity</t>
        </is>
      </c>
      <c r="C1097" t="inlineStr">
        <is>
          <t>MappingLevel</t>
        </is>
      </c>
      <c r="D1097" s="6" t="inlineStr">
        <is>
          <t>Application Specific</t>
        </is>
      </c>
      <c r="E1097" s="6" t="inlineStr">
        <is>
          <t>Application Specific</t>
        </is>
      </c>
      <c r="F1097" s="12" t="inlineStr">
        <is>
          <t>PASS</t>
        </is>
      </c>
      <c r="G1097" t="inlineStr">
        <is>
          <t>BIM-core.MappingLevel</t>
        </is>
      </c>
      <c r="H1097" s="6" t="n"/>
    </row>
    <row r="1098">
      <c r="A1098" t="inlineStr">
        <is>
          <t>PCF_CLIENT_DIMENSION_VALUE</t>
        </is>
      </c>
      <c r="B1098" t="inlineStr">
        <is>
          <t>Entity</t>
        </is>
      </c>
      <c r="C1098" t="inlineStr">
        <is>
          <t>PD_ObjectID</t>
        </is>
      </c>
      <c r="D1098" s="6" t="inlineStr">
        <is>
          <t>413C3CCE-79AE-4C8F-BB9F-06439ED1EB2A</t>
        </is>
      </c>
      <c r="E1098" s="6" t="inlineStr">
        <is>
          <t>413C3CCE-79AE-4C8F-BB9F-06439ED1EB2A</t>
        </is>
      </c>
      <c r="F1098" s="12" t="inlineStr">
        <is>
          <t>PASS</t>
        </is>
      </c>
      <c r="H1098" s="6" t="n"/>
    </row>
    <row r="1099">
      <c r="A1099" t="inlineStr">
        <is>
          <t>PCF_CLIENT_DIMENSION_VALUE</t>
        </is>
      </c>
      <c r="B1099" t="inlineStr">
        <is>
          <t>Entity</t>
        </is>
      </c>
      <c r="C1099" t="inlineStr">
        <is>
          <t>PD_SourceExtraction</t>
        </is>
      </c>
      <c r="D1099" s="6" t="inlineStr">
        <is>
          <t>46603045</t>
        </is>
      </c>
      <c r="E1099" s="6" t="inlineStr">
        <is>
          <t>46603045</t>
        </is>
      </c>
      <c r="F1099" s="12" t="inlineStr">
        <is>
          <t>PASS</t>
        </is>
      </c>
      <c r="H1099" s="6" t="n"/>
    </row>
    <row r="1100">
      <c r="A1100" t="inlineStr">
        <is>
          <t>PCF_CLIENT_DIMENSION_VALUE</t>
        </is>
      </c>
      <c r="B1100" t="inlineStr">
        <is>
          <t>Entity</t>
        </is>
      </c>
      <c r="C1100" t="inlineStr">
        <is>
          <t>PD_SourceModel</t>
        </is>
      </c>
      <c r="D1100" s="6" t="inlineStr">
        <is>
          <t>05_Carbon_Calculator</t>
        </is>
      </c>
      <c r="E1100" s="6" t="inlineStr">
        <is>
          <t>05_Carbon_Calculator</t>
        </is>
      </c>
      <c r="F1100" s="12" t="inlineStr">
        <is>
          <t>PASS</t>
        </is>
      </c>
      <c r="H1100" s="6" t="n"/>
    </row>
    <row r="1101">
      <c r="A1101" t="inlineStr">
        <is>
          <t>PCF_CLIENT_DIMENSION_VALUE</t>
        </is>
      </c>
      <c r="B1101" t="inlineStr">
        <is>
          <t>Entity</t>
        </is>
      </c>
      <c r="C1101" t="inlineStr">
        <is>
          <t>SensitivePersonalData</t>
        </is>
      </c>
      <c r="D1101" s="6" t="inlineStr">
        <is>
          <t>No Sensitive Personal Data</t>
        </is>
      </c>
      <c r="E1101" s="6" t="inlineStr">
        <is>
          <t>No Sensitive Personal Data</t>
        </is>
      </c>
      <c r="F1101" s="12" t="inlineStr">
        <is>
          <t>PASS</t>
        </is>
      </c>
      <c r="G1101" t="inlineStr">
        <is>
          <t>BIM-core.SensitivePersonalData</t>
        </is>
      </c>
      <c r="H1101" s="6" t="n"/>
    </row>
    <row r="1102">
      <c r="A1102" t="inlineStr">
        <is>
          <t>PCF_CLIENT_PRODUCT</t>
        </is>
      </c>
      <c r="B1102" t="inlineStr">
        <is>
          <t>Entity</t>
        </is>
      </c>
      <c r="C1102" t="inlineStr">
        <is>
          <t>CSI</t>
        </is>
      </c>
      <c r="D1102" s="6" t="inlineStr">
        <is>
          <t>false</t>
        </is>
      </c>
      <c r="E1102" s="6" t="inlineStr">
        <is>
          <t>false</t>
        </is>
      </c>
      <c r="F1102" s="12" t="inlineStr">
        <is>
          <t>PASS</t>
        </is>
      </c>
      <c r="G1102" t="inlineStr">
        <is>
          <t>SHL_LDM_EntityPropertyExtension.CSI</t>
        </is>
      </c>
      <c r="H1102" s="6" t="n"/>
    </row>
    <row r="1103">
      <c r="A1103" t="inlineStr">
        <is>
          <t>PCF_CLIENT_PRODUCT</t>
        </is>
      </c>
      <c r="B1103" t="inlineStr">
        <is>
          <t>Entity</t>
        </is>
      </c>
      <c r="C1103" t="inlineStr">
        <is>
          <t>CommerciallySensitiveInformation</t>
        </is>
      </c>
      <c r="D1103" s="6" t="inlineStr">
        <is>
          <t>No Commercially Sensitive Information</t>
        </is>
      </c>
      <c r="E1103" s="6" t="inlineStr">
        <is>
          <t>No Commercially Sensitive Information</t>
        </is>
      </c>
      <c r="F1103" s="12" t="inlineStr">
        <is>
          <t>PASS</t>
        </is>
      </c>
      <c r="G1103" t="inlineStr">
        <is>
          <t>BIM-core.CommerciallySensitiveInformation</t>
        </is>
      </c>
      <c r="H1103" s="6" t="n"/>
    </row>
    <row r="1104">
      <c r="A1104" t="inlineStr">
        <is>
          <t>PCF_CLIENT_PRODUCT</t>
        </is>
      </c>
      <c r="B1104" t="inlineStr">
        <is>
          <t>Entity</t>
        </is>
      </c>
      <c r="C1104" t="inlineStr">
        <is>
          <t>Criticality</t>
        </is>
      </c>
      <c r="D1104" s="6" t="inlineStr">
        <is>
          <t>No Critical Data</t>
        </is>
      </c>
      <c r="E1104" s="6" t="inlineStr">
        <is>
          <t>No Critical Data</t>
        </is>
      </c>
      <c r="F1104" s="12" t="inlineStr">
        <is>
          <t>PASS</t>
        </is>
      </c>
      <c r="G1104" t="inlineStr">
        <is>
          <t>BIM-core.Criticality</t>
        </is>
      </c>
      <c r="H1104" s="6" t="n"/>
    </row>
    <row r="1105">
      <c r="A1105" t="inlineStr">
        <is>
          <t>PCF_CLIENT_PRODUCT</t>
        </is>
      </c>
      <c r="B1105" t="inlineStr">
        <is>
          <t>Entity</t>
        </is>
      </c>
      <c r="C1105" t="inlineStr">
        <is>
          <t>DataCategory</t>
        </is>
      </c>
      <c r="D1105" s="6" t="inlineStr">
        <is>
          <t>Structured</t>
        </is>
      </c>
      <c r="E1105" s="6" t="inlineStr">
        <is>
          <t>Structured</t>
        </is>
      </c>
      <c r="F1105" s="12" t="inlineStr">
        <is>
          <t>PASS</t>
        </is>
      </c>
      <c r="G1105" t="inlineStr">
        <is>
          <t>BIM-core.DataCategory</t>
        </is>
      </c>
      <c r="H1105" s="6" t="n"/>
    </row>
    <row r="1106">
      <c r="A1106" t="inlineStr">
        <is>
          <t>PCF_CLIENT_PRODUCT</t>
        </is>
      </c>
      <c r="B1106" t="inlineStr">
        <is>
          <t>Entity</t>
        </is>
      </c>
      <c r="C1106" t="inlineStr">
        <is>
          <t>DataConfidentiality</t>
        </is>
      </c>
      <c r="D1106" s="6" t="inlineStr">
        <is>
          <t>Internal</t>
        </is>
      </c>
      <c r="E1106" s="6" t="inlineStr">
        <is>
          <t>Internal</t>
        </is>
      </c>
      <c r="F1106" s="12" t="inlineStr">
        <is>
          <t>PASS</t>
        </is>
      </c>
      <c r="G1106" t="inlineStr">
        <is>
          <t>BIM-core.DataConfidentiality</t>
        </is>
      </c>
      <c r="H1106" s="6" t="n"/>
    </row>
    <row r="1107">
      <c r="A1107" t="inlineStr">
        <is>
          <t>PCF_CLIENT_PRODUCT</t>
        </is>
      </c>
      <c r="B1107" t="inlineStr">
        <is>
          <t>Entity</t>
        </is>
      </c>
      <c r="C1107" t="inlineStr">
        <is>
          <t>DesignStatus</t>
        </is>
      </c>
      <c r="D1107" s="6" t="inlineStr">
        <is>
          <t>Approved</t>
        </is>
      </c>
      <c r="E1107" s="6" t="inlineStr">
        <is>
          <t>Approved</t>
        </is>
      </c>
      <c r="F1107" s="12" t="inlineStr">
        <is>
          <t>PASS</t>
        </is>
      </c>
      <c r="G1107" t="inlineStr">
        <is>
          <t>BIM-core.DesignStatus</t>
        </is>
      </c>
      <c r="H1107" s="6" t="n"/>
    </row>
    <row r="1108">
      <c r="A1108" t="inlineStr">
        <is>
          <t>PCF_CLIENT_PRODUCT</t>
        </is>
      </c>
      <c r="B1108" t="inlineStr">
        <is>
          <t>Entity</t>
        </is>
      </c>
      <c r="C1108" t="inlineStr">
        <is>
          <t>EntityCategory</t>
        </is>
      </c>
      <c r="D1108" s="6" t="inlineStr">
        <is>
          <t>External Reference</t>
        </is>
      </c>
      <c r="E1108" s="6" t="inlineStr">
        <is>
          <t>External Reference</t>
        </is>
      </c>
      <c r="F1108" s="12" t="inlineStr">
        <is>
          <t>PASS</t>
        </is>
      </c>
      <c r="G1108" t="inlineStr">
        <is>
          <t>BIM-core.EntityCategory</t>
        </is>
      </c>
      <c r="H1108" s="6" t="n"/>
    </row>
    <row r="1109">
      <c r="A1109" t="inlineStr">
        <is>
          <t>PCF_CLIENT_PRODUCT</t>
        </is>
      </c>
      <c r="B1109" t="inlineStr">
        <is>
          <t>Entity</t>
        </is>
      </c>
      <c r="C1109" t="inlineStr">
        <is>
          <t>EntityPersonalData</t>
        </is>
      </c>
      <c r="D1109" s="6" t="inlineStr">
        <is>
          <t>No Personal Data</t>
        </is>
      </c>
      <c r="E1109" s="6" t="inlineStr">
        <is>
          <t>No Personal Data</t>
        </is>
      </c>
      <c r="F1109" s="12" t="inlineStr">
        <is>
          <t>PASS</t>
        </is>
      </c>
      <c r="G1109" t="inlineStr">
        <is>
          <t>BIM-core.EntityPersonalData</t>
        </is>
      </c>
      <c r="H1109" s="6" t="n"/>
    </row>
    <row r="1110">
      <c r="A1110" t="inlineStr">
        <is>
          <t>PCF_CLIENT_PRODUCT</t>
        </is>
      </c>
      <c r="B1110" t="inlineStr">
        <is>
          <t>Entity</t>
        </is>
      </c>
      <c r="C1110" t="inlineStr">
        <is>
          <t>FinancialPersonalData</t>
        </is>
      </c>
      <c r="D1110" s="6" t="inlineStr">
        <is>
          <t>No Financial Personal Data</t>
        </is>
      </c>
      <c r="E1110" s="6" t="inlineStr">
        <is>
          <t>No Financial Personal Data</t>
        </is>
      </c>
      <c r="F1110" s="12" t="inlineStr">
        <is>
          <t>PASS</t>
        </is>
      </c>
      <c r="G1110" t="inlineStr">
        <is>
          <t>BIM-core.FinancialPersonalData</t>
        </is>
      </c>
      <c r="H1110" s="6" t="n"/>
    </row>
    <row r="1111">
      <c r="A1111" t="inlineStr">
        <is>
          <t>PCF_CLIENT_PRODUCT</t>
        </is>
      </c>
      <c r="B1111" t="inlineStr">
        <is>
          <t>Entity</t>
        </is>
      </c>
      <c r="C1111" t="inlineStr">
        <is>
          <t>MTED_EDaM_Mapping_Note</t>
        </is>
      </c>
      <c r="D1111" s="6" t="inlineStr">
        <is>
          <t>{\rtf1\ansi\ansicpg1252\deff0\nouicompat\deflang2057{\fonttbl{\f0\fnil\fcharset0 Times New Roman;}}</t>
        </is>
      </c>
      <c r="E1111" s="6" t="inlineStr">
        <is>
          <t>{\rtf1\ansi\ansicpg1252\deff0\nouicompat\deflang2057{\fonttbl{\f0\fnil\fcharset0 Times New Roman;}}</t>
        </is>
      </c>
      <c r="F1111" s="12" t="inlineStr">
        <is>
          <t>PASS</t>
        </is>
      </c>
      <c r="G1111" t="inlineStr">
        <is>
          <t>BIM-core.MTED_EDaM_Mapping_Note</t>
        </is>
      </c>
      <c r="H1111" s="6" t="n"/>
    </row>
    <row r="1112">
      <c r="A1112" t="inlineStr">
        <is>
          <t>PCF_CLIENT_PRODUCT</t>
        </is>
      </c>
      <c r="B1112" t="inlineStr">
        <is>
          <t>Entity</t>
        </is>
      </c>
      <c r="C1112" t="inlineStr">
        <is>
          <t>MTED_Encryption_Required</t>
        </is>
      </c>
      <c r="D1112" s="6" t="inlineStr">
        <is>
          <t>false</t>
        </is>
      </c>
      <c r="E1112" s="6" t="inlineStr">
        <is>
          <t>false</t>
        </is>
      </c>
      <c r="F1112" s="12" t="inlineStr">
        <is>
          <t>PASS</t>
        </is>
      </c>
      <c r="G1112" t="inlineStr">
        <is>
          <t>SHL_LDM_EntityPropertyExtension.MTED_Encryption_Required</t>
        </is>
      </c>
      <c r="H1112" s="6" t="n"/>
    </row>
    <row r="1113">
      <c r="A1113" t="inlineStr">
        <is>
          <t>PCF_CLIENT_PRODUCT</t>
        </is>
      </c>
      <c r="B1113" t="inlineStr">
        <is>
          <t>Entity</t>
        </is>
      </c>
      <c r="C1113" t="inlineStr">
        <is>
          <t>MappingLevel</t>
        </is>
      </c>
      <c r="D1113" s="6" t="inlineStr">
        <is>
          <t>Application Specific</t>
        </is>
      </c>
      <c r="E1113" s="6" t="inlineStr">
        <is>
          <t>Application Specific</t>
        </is>
      </c>
      <c r="F1113" s="12" t="inlineStr">
        <is>
          <t>PASS</t>
        </is>
      </c>
      <c r="G1113" t="inlineStr">
        <is>
          <t>BIM-core.MappingLevel</t>
        </is>
      </c>
      <c r="H1113" s="6" t="n"/>
    </row>
    <row r="1114">
      <c r="A1114" t="inlineStr">
        <is>
          <t>PCF_CLIENT_PRODUCT</t>
        </is>
      </c>
      <c r="B1114" t="inlineStr">
        <is>
          <t>Entity</t>
        </is>
      </c>
      <c r="C1114" t="inlineStr">
        <is>
          <t>PD_ObjectID</t>
        </is>
      </c>
      <c r="D1114" s="6" t="inlineStr">
        <is>
          <t>FE7A122C-162E-40E3-B768-7D413F48165A</t>
        </is>
      </c>
      <c r="E1114" s="6" t="inlineStr">
        <is>
          <t>FE7A122C-162E-40E3-B768-7D413F48165A</t>
        </is>
      </c>
      <c r="F1114" s="12" t="inlineStr">
        <is>
          <t>PASS</t>
        </is>
      </c>
      <c r="H1114" s="6" t="n"/>
    </row>
    <row r="1115">
      <c r="A1115" t="inlineStr">
        <is>
          <t>PCF_CLIENT_PRODUCT</t>
        </is>
      </c>
      <c r="B1115" t="inlineStr">
        <is>
          <t>Entity</t>
        </is>
      </c>
      <c r="C1115" t="inlineStr">
        <is>
          <t>PD_SourceExtraction</t>
        </is>
      </c>
      <c r="D1115" s="6" t="inlineStr">
        <is>
          <t>46603045</t>
        </is>
      </c>
      <c r="E1115" s="6" t="inlineStr">
        <is>
          <t>46603045</t>
        </is>
      </c>
      <c r="F1115" s="12" t="inlineStr">
        <is>
          <t>PASS</t>
        </is>
      </c>
      <c r="H1115" s="6" t="n"/>
    </row>
    <row r="1116">
      <c r="A1116" t="inlineStr">
        <is>
          <t>PCF_CLIENT_PRODUCT</t>
        </is>
      </c>
      <c r="B1116" t="inlineStr">
        <is>
          <t>Entity</t>
        </is>
      </c>
      <c r="C1116" t="inlineStr">
        <is>
          <t>PD_SourceModel</t>
        </is>
      </c>
      <c r="D1116" s="6" t="inlineStr">
        <is>
          <t>05_Carbon_Calculator</t>
        </is>
      </c>
      <c r="E1116" s="6" t="inlineStr">
        <is>
          <t>05_Carbon_Calculator</t>
        </is>
      </c>
      <c r="F1116" s="12" t="inlineStr">
        <is>
          <t>PASS</t>
        </is>
      </c>
      <c r="H1116" s="6" t="n"/>
    </row>
    <row r="1117">
      <c r="A1117" t="inlineStr">
        <is>
          <t>PCF_CLIENT_PRODUCT</t>
        </is>
      </c>
      <c r="B1117" t="inlineStr">
        <is>
          <t>Entity</t>
        </is>
      </c>
      <c r="C1117" t="inlineStr">
        <is>
          <t>SensitivePersonalData</t>
        </is>
      </c>
      <c r="D1117" s="6" t="inlineStr">
        <is>
          <t>No Sensitive Personal Data</t>
        </is>
      </c>
      <c r="E1117" s="6" t="inlineStr">
        <is>
          <t>No Sensitive Personal Data</t>
        </is>
      </c>
      <c r="F1117" s="12" t="inlineStr">
        <is>
          <t>PASS</t>
        </is>
      </c>
      <c r="G1117" t="inlineStr">
        <is>
          <t>BIM-core.SensitivePersonalData</t>
        </is>
      </c>
      <c r="H1117" s="6" t="n"/>
    </row>
    <row r="1118">
      <c r="A1118" t="inlineStr">
        <is>
          <t>PCF_CLIENT_PRODUCT_REGION_ACTIVITY_PARAMETER</t>
        </is>
      </c>
      <c r="B1118" t="inlineStr">
        <is>
          <t>Entity</t>
        </is>
      </c>
      <c r="C1118" t="inlineStr">
        <is>
          <t>CommerciallySensitiveInformation</t>
        </is>
      </c>
      <c r="D1118" s="6" t="inlineStr">
        <is>
          <t>No Commercially Sensitive Information</t>
        </is>
      </c>
      <c r="E1118" s="6" t="inlineStr">
        <is>
          <t>No Commercially Sensitive Information</t>
        </is>
      </c>
      <c r="F1118" s="12" t="inlineStr">
        <is>
          <t>PASS</t>
        </is>
      </c>
      <c r="G1118" t="inlineStr">
        <is>
          <t>BIM-core.CommerciallySensitiveInformation</t>
        </is>
      </c>
      <c r="H1118" s="6" t="n"/>
    </row>
    <row r="1119">
      <c r="A1119" t="inlineStr">
        <is>
          <t>PCF_CLIENT_PRODUCT_REGION_ACTIVITY_PARAMETER</t>
        </is>
      </c>
      <c r="B1119" t="inlineStr">
        <is>
          <t>Entity</t>
        </is>
      </c>
      <c r="C1119" t="inlineStr">
        <is>
          <t>Criticality</t>
        </is>
      </c>
      <c r="D1119" s="6" t="inlineStr">
        <is>
          <t>No Critical Data</t>
        </is>
      </c>
      <c r="E1119" s="6" t="inlineStr">
        <is>
          <t>No Critical Data</t>
        </is>
      </c>
      <c r="F1119" s="12" t="inlineStr">
        <is>
          <t>PASS</t>
        </is>
      </c>
      <c r="G1119" t="inlineStr">
        <is>
          <t>BIM-core.Criticality</t>
        </is>
      </c>
      <c r="H1119" s="6" t="n"/>
    </row>
    <row r="1120">
      <c r="A1120" t="inlineStr">
        <is>
          <t>PCF_CLIENT_PRODUCT_REGION_ACTIVITY_PARAMETER</t>
        </is>
      </c>
      <c r="B1120" t="inlineStr">
        <is>
          <t>Entity</t>
        </is>
      </c>
      <c r="C1120" t="inlineStr">
        <is>
          <t>DataCategory</t>
        </is>
      </c>
      <c r="D1120" s="6" t="inlineStr">
        <is>
          <t>Structured</t>
        </is>
      </c>
      <c r="E1120" s="6" t="inlineStr">
        <is>
          <t>Structured</t>
        </is>
      </c>
      <c r="F1120" s="12" t="inlineStr">
        <is>
          <t>PASS</t>
        </is>
      </c>
      <c r="G1120" t="inlineStr">
        <is>
          <t>BIM-core.DataCategory</t>
        </is>
      </c>
      <c r="H1120" s="6" t="n"/>
    </row>
    <row r="1121">
      <c r="A1121" t="inlineStr">
        <is>
          <t>PCF_CLIENT_PRODUCT_REGION_ACTIVITY_PARAMETER</t>
        </is>
      </c>
      <c r="B1121" t="inlineStr">
        <is>
          <t>Entity</t>
        </is>
      </c>
      <c r="C1121" t="inlineStr">
        <is>
          <t>DataConfidentiality</t>
        </is>
      </c>
      <c r="D1121" s="6" t="inlineStr">
        <is>
          <t>Internal</t>
        </is>
      </c>
      <c r="E1121" s="6" t="inlineStr">
        <is>
          <t>Internal</t>
        </is>
      </c>
      <c r="F1121" s="12" t="inlineStr">
        <is>
          <t>PASS</t>
        </is>
      </c>
      <c r="G1121" t="inlineStr">
        <is>
          <t>BIM-core.DataConfidentiality</t>
        </is>
      </c>
      <c r="H1121" s="6" t="n"/>
    </row>
    <row r="1122">
      <c r="A1122" t="inlineStr">
        <is>
          <t>PCF_CLIENT_PRODUCT_REGION_ACTIVITY_PARAMETER</t>
        </is>
      </c>
      <c r="B1122" t="inlineStr">
        <is>
          <t>Entity</t>
        </is>
      </c>
      <c r="C1122" t="inlineStr">
        <is>
          <t>DesignStatus</t>
        </is>
      </c>
      <c r="D1122" s="6" t="inlineStr">
        <is>
          <t>Approved</t>
        </is>
      </c>
      <c r="E1122" s="6" t="inlineStr">
        <is>
          <t>Approved</t>
        </is>
      </c>
      <c r="F1122" s="12" t="inlineStr">
        <is>
          <t>PASS</t>
        </is>
      </c>
      <c r="G1122" t="inlineStr">
        <is>
          <t>BIM-core.DesignStatus</t>
        </is>
      </c>
      <c r="H1122" s="6" t="n"/>
    </row>
    <row r="1123">
      <c r="A1123" t="inlineStr">
        <is>
          <t>PCF_CLIENT_PRODUCT_REGION_ACTIVITY_PARAMETER</t>
        </is>
      </c>
      <c r="B1123" t="inlineStr">
        <is>
          <t>Entity</t>
        </is>
      </c>
      <c r="C1123" t="inlineStr">
        <is>
          <t>EntityCategory</t>
        </is>
      </c>
      <c r="D1123" s="6" t="inlineStr">
        <is>
          <t>Transaction</t>
        </is>
      </c>
      <c r="E1123" s="6" t="inlineStr">
        <is>
          <t>Transaction</t>
        </is>
      </c>
      <c r="F1123" s="12" t="inlineStr">
        <is>
          <t>PASS</t>
        </is>
      </c>
      <c r="G1123" t="inlineStr">
        <is>
          <t>BIM-core.EntityCategory</t>
        </is>
      </c>
      <c r="H1123" s="6" t="n"/>
    </row>
    <row r="1124">
      <c r="A1124" t="inlineStr">
        <is>
          <t>PCF_CLIENT_PRODUCT_REGION_ACTIVITY_PARAMETER</t>
        </is>
      </c>
      <c r="B1124" t="inlineStr">
        <is>
          <t>Entity</t>
        </is>
      </c>
      <c r="C1124" t="inlineStr">
        <is>
          <t>EntityPersonalData</t>
        </is>
      </c>
      <c r="D1124" s="6" t="inlineStr">
        <is>
          <t>No Personal Data</t>
        </is>
      </c>
      <c r="E1124" s="6" t="inlineStr">
        <is>
          <t>No Personal Data</t>
        </is>
      </c>
      <c r="F1124" s="12" t="inlineStr">
        <is>
          <t>PASS</t>
        </is>
      </c>
      <c r="G1124" t="inlineStr">
        <is>
          <t>BIM-core.EntityPersonalData</t>
        </is>
      </c>
      <c r="H1124" s="6" t="n"/>
    </row>
    <row r="1125">
      <c r="A1125" t="inlineStr">
        <is>
          <t>PCF_CLIENT_PRODUCT_REGION_ACTIVITY_PARAMETER</t>
        </is>
      </c>
      <c r="B1125" t="inlineStr">
        <is>
          <t>Entity</t>
        </is>
      </c>
      <c r="C1125" t="inlineStr">
        <is>
          <t>FinancialPersonalData</t>
        </is>
      </c>
      <c r="D1125" s="6" t="inlineStr">
        <is>
          <t>No Financial Personal Data</t>
        </is>
      </c>
      <c r="E1125" s="6" t="inlineStr">
        <is>
          <t>No Financial Personal Data</t>
        </is>
      </c>
      <c r="F1125" s="12" t="inlineStr">
        <is>
          <t>PASS</t>
        </is>
      </c>
      <c r="G1125" t="inlineStr">
        <is>
          <t>BIM-core.FinancialPersonalData</t>
        </is>
      </c>
      <c r="H1125" s="6" t="n"/>
    </row>
    <row r="1126">
      <c r="A1126" t="inlineStr">
        <is>
          <t>PCF_CLIENT_PRODUCT_REGION_ACTIVITY_PARAMETER</t>
        </is>
      </c>
      <c r="B1126" t="inlineStr">
        <is>
          <t>Entity</t>
        </is>
      </c>
      <c r="C1126" t="inlineStr">
        <is>
          <t>MTED_EDaM_Mapping_Note</t>
        </is>
      </c>
      <c r="D1126" s="6" t="inlineStr">
        <is>
          <t>{\rtf1\ansi\ansicpg1252\deff0\nouicompat\deflang2057{\fonttbl{\f0\fnil\fcharset0 Times New Roman;}}</t>
        </is>
      </c>
      <c r="E1126" s="6" t="inlineStr">
        <is>
          <t>{\rtf1\ansi\ansicpg1252\deff0\nouicompat\deflang2057{\fonttbl{\f0\fnil\fcharset0 Times New Roman;}}</t>
        </is>
      </c>
      <c r="F1126" s="12" t="inlineStr">
        <is>
          <t>PASS</t>
        </is>
      </c>
      <c r="G1126" t="inlineStr">
        <is>
          <t>BIM-core.MTED_EDaM_Mapping_Note</t>
        </is>
      </c>
      <c r="H1126" s="6" t="n"/>
    </row>
    <row r="1127">
      <c r="A1127" t="inlineStr">
        <is>
          <t>PCF_CLIENT_PRODUCT_REGION_ACTIVITY_PARAMETER</t>
        </is>
      </c>
      <c r="B1127" t="inlineStr">
        <is>
          <t>Entity</t>
        </is>
      </c>
      <c r="C1127" t="inlineStr">
        <is>
          <t>MappingLevel</t>
        </is>
      </c>
      <c r="D1127" s="6" t="inlineStr">
        <is>
          <t>Application Specific</t>
        </is>
      </c>
      <c r="E1127" s="6" t="inlineStr">
        <is>
          <t>Application Specific</t>
        </is>
      </c>
      <c r="F1127" s="12" t="inlineStr">
        <is>
          <t>PASS</t>
        </is>
      </c>
      <c r="G1127" t="inlineStr">
        <is>
          <t>BIM-core.MappingLevel</t>
        </is>
      </c>
      <c r="H1127" s="6" t="n"/>
    </row>
    <row r="1128">
      <c r="A1128" t="inlineStr">
        <is>
          <t>PCF_CLIENT_PRODUCT_REGION_ACTIVITY_PARAMETER</t>
        </is>
      </c>
      <c r="B1128" t="inlineStr">
        <is>
          <t>Entity</t>
        </is>
      </c>
      <c r="C1128" t="inlineStr">
        <is>
          <t>PD_ObjectID</t>
        </is>
      </c>
      <c r="D1128" s="6" t="inlineStr">
        <is>
          <t>6F97B7C2-5485-4B5F-9EC2-F76BCAB30CAE</t>
        </is>
      </c>
      <c r="E1128" s="6" t="inlineStr">
        <is>
          <t>6F97B7C2-5485-4B5F-9EC2-F76BCAB30CAE</t>
        </is>
      </c>
      <c r="F1128" s="12" t="inlineStr">
        <is>
          <t>PASS</t>
        </is>
      </c>
      <c r="H1128" s="6" t="n"/>
    </row>
    <row r="1129">
      <c r="A1129" t="inlineStr">
        <is>
          <t>PCF_CLIENT_PRODUCT_REGION_ACTIVITY_PARAMETER</t>
        </is>
      </c>
      <c r="B1129" t="inlineStr">
        <is>
          <t>Entity</t>
        </is>
      </c>
      <c r="C1129" t="inlineStr">
        <is>
          <t>PD_SourceExtraction</t>
        </is>
      </c>
      <c r="D1129" s="6" t="inlineStr">
        <is>
          <t>46603045</t>
        </is>
      </c>
      <c r="E1129" s="6" t="inlineStr">
        <is>
          <t>46603045</t>
        </is>
      </c>
      <c r="F1129" s="12" t="inlineStr">
        <is>
          <t>PASS</t>
        </is>
      </c>
      <c r="H1129" s="6" t="n"/>
    </row>
    <row r="1130">
      <c r="A1130" t="inlineStr">
        <is>
          <t>PCF_CLIENT_PRODUCT_REGION_ACTIVITY_PARAMETER</t>
        </is>
      </c>
      <c r="B1130" t="inlineStr">
        <is>
          <t>Entity</t>
        </is>
      </c>
      <c r="C1130" t="inlineStr">
        <is>
          <t>PD_SourceModel</t>
        </is>
      </c>
      <c r="D1130" s="6" t="inlineStr">
        <is>
          <t>05_Carbon_Calculator</t>
        </is>
      </c>
      <c r="E1130" s="6" t="inlineStr">
        <is>
          <t>05_Carbon_Calculator</t>
        </is>
      </c>
      <c r="F1130" s="12" t="inlineStr">
        <is>
          <t>PASS</t>
        </is>
      </c>
      <c r="H1130" s="6" t="n"/>
    </row>
    <row r="1131">
      <c r="A1131" t="inlineStr">
        <is>
          <t>PCF_CLIENT_PRODUCT_REGION_ACTIVITY_PARAMETER</t>
        </is>
      </c>
      <c r="B1131" t="inlineStr">
        <is>
          <t>Entity</t>
        </is>
      </c>
      <c r="C1131" t="inlineStr">
        <is>
          <t>SensitivePersonalData</t>
        </is>
      </c>
      <c r="D1131" s="6" t="inlineStr">
        <is>
          <t>No Sensitive Personal Data</t>
        </is>
      </c>
      <c r="E1131" s="6" t="inlineStr">
        <is>
          <t>No Sensitive Personal Data</t>
        </is>
      </c>
      <c r="F1131" s="12" t="inlineStr">
        <is>
          <t>PASS</t>
        </is>
      </c>
      <c r="G1131" t="inlineStr">
        <is>
          <t>BIM-core.SensitivePersonalData</t>
        </is>
      </c>
      <c r="H1131" s="6" t="n"/>
    </row>
    <row r="1132">
      <c r="A1132" t="inlineStr">
        <is>
          <t>PCF_CLIENT_PRODUCT_REGION_ENERGY_APPLICATION</t>
        </is>
      </c>
      <c r="B1132" t="inlineStr">
        <is>
          <t>Entity</t>
        </is>
      </c>
      <c r="C1132" t="inlineStr">
        <is>
          <t>CommerciallySensitiveInformation</t>
        </is>
      </c>
      <c r="D1132" s="6" t="inlineStr">
        <is>
          <t>No Commercially Sensitive Information</t>
        </is>
      </c>
      <c r="E1132" s="6" t="inlineStr">
        <is>
          <t>No Commercially Sensitive Information</t>
        </is>
      </c>
      <c r="F1132" s="12" t="inlineStr">
        <is>
          <t>PASS</t>
        </is>
      </c>
      <c r="G1132" t="inlineStr">
        <is>
          <t>BIM-core.CommerciallySensitiveInformation</t>
        </is>
      </c>
      <c r="H1132" s="6" t="n"/>
    </row>
    <row r="1133">
      <c r="A1133" t="inlineStr">
        <is>
          <t>PCF_CLIENT_PRODUCT_REGION_ENERGY_APPLICATION</t>
        </is>
      </c>
      <c r="B1133" t="inlineStr">
        <is>
          <t>Entity</t>
        </is>
      </c>
      <c r="C1133" t="inlineStr">
        <is>
          <t>Criticality</t>
        </is>
      </c>
      <c r="D1133" s="6" t="inlineStr">
        <is>
          <t>No Critical Data</t>
        </is>
      </c>
      <c r="E1133" s="6" t="inlineStr">
        <is>
          <t>No Critical Data</t>
        </is>
      </c>
      <c r="F1133" s="12" t="inlineStr">
        <is>
          <t>PASS</t>
        </is>
      </c>
      <c r="G1133" t="inlineStr">
        <is>
          <t>BIM-core.Criticality</t>
        </is>
      </c>
      <c r="H1133" s="6" t="n"/>
    </row>
    <row r="1134">
      <c r="A1134" t="inlineStr">
        <is>
          <t>PCF_CLIENT_PRODUCT_REGION_ENERGY_APPLICATION</t>
        </is>
      </c>
      <c r="B1134" t="inlineStr">
        <is>
          <t>Entity</t>
        </is>
      </c>
      <c r="C1134" t="inlineStr">
        <is>
          <t>DataCategory</t>
        </is>
      </c>
      <c r="D1134" s="6" t="inlineStr">
        <is>
          <t>Structured</t>
        </is>
      </c>
      <c r="E1134" s="6" t="inlineStr">
        <is>
          <t>Structured</t>
        </is>
      </c>
      <c r="F1134" s="12" t="inlineStr">
        <is>
          <t>PASS</t>
        </is>
      </c>
      <c r="G1134" t="inlineStr">
        <is>
          <t>BIM-core.DataCategory</t>
        </is>
      </c>
      <c r="H1134" s="6" t="n"/>
    </row>
    <row r="1135">
      <c r="A1135" t="inlineStr">
        <is>
          <t>PCF_CLIENT_PRODUCT_REGION_ENERGY_APPLICATION</t>
        </is>
      </c>
      <c r="B1135" t="inlineStr">
        <is>
          <t>Entity</t>
        </is>
      </c>
      <c r="C1135" t="inlineStr">
        <is>
          <t>DataConfidentiality</t>
        </is>
      </c>
      <c r="D1135" s="6" t="inlineStr">
        <is>
          <t>Internal</t>
        </is>
      </c>
      <c r="E1135" s="6" t="inlineStr">
        <is>
          <t>Internal</t>
        </is>
      </c>
      <c r="F1135" s="12" t="inlineStr">
        <is>
          <t>PASS</t>
        </is>
      </c>
      <c r="G1135" t="inlineStr">
        <is>
          <t>BIM-core.DataConfidentiality</t>
        </is>
      </c>
      <c r="H1135" s="6" t="n"/>
    </row>
    <row r="1136">
      <c r="A1136" t="inlineStr">
        <is>
          <t>PCF_CLIENT_PRODUCT_REGION_ENERGY_APPLICATION</t>
        </is>
      </c>
      <c r="B1136" t="inlineStr">
        <is>
          <t>Entity</t>
        </is>
      </c>
      <c r="C1136" t="inlineStr">
        <is>
          <t>DesignStatus</t>
        </is>
      </c>
      <c r="D1136" s="6" t="inlineStr">
        <is>
          <t>Approved</t>
        </is>
      </c>
      <c r="E1136" s="6" t="inlineStr">
        <is>
          <t>Approved</t>
        </is>
      </c>
      <c r="F1136" s="12" t="inlineStr">
        <is>
          <t>PASS</t>
        </is>
      </c>
      <c r="G1136" t="inlineStr">
        <is>
          <t>BIM-core.DesignStatus</t>
        </is>
      </c>
      <c r="H1136" s="6" t="n"/>
    </row>
    <row r="1137">
      <c r="A1137" t="inlineStr">
        <is>
          <t>PCF_CLIENT_PRODUCT_REGION_ENERGY_APPLICATION</t>
        </is>
      </c>
      <c r="B1137" t="inlineStr">
        <is>
          <t>Entity</t>
        </is>
      </c>
      <c r="C1137" t="inlineStr">
        <is>
          <t>EntityCategory</t>
        </is>
      </c>
      <c r="D1137" s="6" t="inlineStr">
        <is>
          <t>Transaction</t>
        </is>
      </c>
      <c r="E1137" s="6" t="inlineStr">
        <is>
          <t>Transaction</t>
        </is>
      </c>
      <c r="F1137" s="12" t="inlineStr">
        <is>
          <t>PASS</t>
        </is>
      </c>
      <c r="G1137" t="inlineStr">
        <is>
          <t>BIM-core.EntityCategory</t>
        </is>
      </c>
      <c r="H1137" s="6" t="n"/>
    </row>
    <row r="1138">
      <c r="A1138" t="inlineStr">
        <is>
          <t>PCF_CLIENT_PRODUCT_REGION_ENERGY_APPLICATION</t>
        </is>
      </c>
      <c r="B1138" t="inlineStr">
        <is>
          <t>Entity</t>
        </is>
      </c>
      <c r="C1138" t="inlineStr">
        <is>
          <t>EntityPersonalData</t>
        </is>
      </c>
      <c r="D1138" s="6" t="inlineStr">
        <is>
          <t>No Personal Data</t>
        </is>
      </c>
      <c r="E1138" s="6" t="inlineStr">
        <is>
          <t>No Personal Data</t>
        </is>
      </c>
      <c r="F1138" s="12" t="inlineStr">
        <is>
          <t>PASS</t>
        </is>
      </c>
      <c r="G1138" t="inlineStr">
        <is>
          <t>BIM-core.EntityPersonalData</t>
        </is>
      </c>
      <c r="H1138" s="6" t="n"/>
    </row>
    <row r="1139">
      <c r="A1139" t="inlineStr">
        <is>
          <t>PCF_CLIENT_PRODUCT_REGION_ENERGY_APPLICATION</t>
        </is>
      </c>
      <c r="B1139" t="inlineStr">
        <is>
          <t>Entity</t>
        </is>
      </c>
      <c r="C1139" t="inlineStr">
        <is>
          <t>FinancialPersonalData</t>
        </is>
      </c>
      <c r="D1139" s="6" t="inlineStr">
        <is>
          <t>No Financial Personal Data</t>
        </is>
      </c>
      <c r="E1139" s="6" t="inlineStr">
        <is>
          <t>No Financial Personal Data</t>
        </is>
      </c>
      <c r="F1139" s="12" t="inlineStr">
        <is>
          <t>PASS</t>
        </is>
      </c>
      <c r="G1139" t="inlineStr">
        <is>
          <t>BIM-core.FinancialPersonalData</t>
        </is>
      </c>
      <c r="H1139" s="6" t="n"/>
    </row>
    <row r="1140">
      <c r="A1140" t="inlineStr">
        <is>
          <t>PCF_CLIENT_PRODUCT_REGION_ENERGY_APPLICATION</t>
        </is>
      </c>
      <c r="B1140" t="inlineStr">
        <is>
          <t>Entity</t>
        </is>
      </c>
      <c r="C1140" t="inlineStr">
        <is>
          <t>MTED_EDaM_Mapping_Note</t>
        </is>
      </c>
      <c r="D1140" s="6" t="inlineStr">
        <is>
          <t>{\rtf1\ansi\ansicpg1252\deff0\nouicompat\deflang2057{\fonttbl{\f0\fnil\fcharset0 Times New Roman;}}</t>
        </is>
      </c>
      <c r="E1140" s="6" t="inlineStr">
        <is>
          <t>{\rtf1\ansi\ansicpg1252\deff0\nouicompat\deflang2057{\fonttbl{\f0\fnil\fcharset0 Times New Roman;}}</t>
        </is>
      </c>
      <c r="F1140" s="12" t="inlineStr">
        <is>
          <t>PASS</t>
        </is>
      </c>
      <c r="G1140" t="inlineStr">
        <is>
          <t>BIM-core.MTED_EDaM_Mapping_Note</t>
        </is>
      </c>
      <c r="H1140" s="6" t="n"/>
    </row>
    <row r="1141">
      <c r="A1141" t="inlineStr">
        <is>
          <t>PCF_CLIENT_PRODUCT_REGION_ENERGY_APPLICATION</t>
        </is>
      </c>
      <c r="B1141" t="inlineStr">
        <is>
          <t>Entity</t>
        </is>
      </c>
      <c r="C1141" t="inlineStr">
        <is>
          <t>MappingLevel</t>
        </is>
      </c>
      <c r="D1141" s="6" t="inlineStr">
        <is>
          <t>Application Specific</t>
        </is>
      </c>
      <c r="E1141" s="6" t="inlineStr">
        <is>
          <t>Application Specific</t>
        </is>
      </c>
      <c r="F1141" s="12" t="inlineStr">
        <is>
          <t>PASS</t>
        </is>
      </c>
      <c r="G1141" t="inlineStr">
        <is>
          <t>BIM-core.MappingLevel</t>
        </is>
      </c>
      <c r="H1141" s="6" t="n"/>
    </row>
    <row r="1142">
      <c r="A1142" t="inlineStr">
        <is>
          <t>PCF_CLIENT_PRODUCT_REGION_ENERGY_APPLICATION</t>
        </is>
      </c>
      <c r="B1142" t="inlineStr">
        <is>
          <t>Entity</t>
        </is>
      </c>
      <c r="C1142" t="inlineStr">
        <is>
          <t>PD_ObjectID</t>
        </is>
      </c>
      <c r="D1142" s="6" t="inlineStr">
        <is>
          <t>6B54CE91-9285-4782-A108-698E63E5E33F</t>
        </is>
      </c>
      <c r="E1142" s="6" t="inlineStr">
        <is>
          <t>6B54CE91-9285-4782-A108-698E63E5E33F</t>
        </is>
      </c>
      <c r="F1142" s="12" t="inlineStr">
        <is>
          <t>PASS</t>
        </is>
      </c>
      <c r="H1142" s="6" t="n"/>
    </row>
    <row r="1143">
      <c r="A1143" t="inlineStr">
        <is>
          <t>PCF_CLIENT_PRODUCT_REGION_ENERGY_APPLICATION</t>
        </is>
      </c>
      <c r="B1143" t="inlineStr">
        <is>
          <t>Entity</t>
        </is>
      </c>
      <c r="C1143" t="inlineStr">
        <is>
          <t>PD_SourceExtraction</t>
        </is>
      </c>
      <c r="D1143" s="6" t="inlineStr">
        <is>
          <t>46603045</t>
        </is>
      </c>
      <c r="E1143" s="6" t="inlineStr">
        <is>
          <t>46603045</t>
        </is>
      </c>
      <c r="F1143" s="12" t="inlineStr">
        <is>
          <t>PASS</t>
        </is>
      </c>
      <c r="H1143" s="6" t="n"/>
    </row>
    <row r="1144">
      <c r="A1144" t="inlineStr">
        <is>
          <t>PCF_CLIENT_PRODUCT_REGION_ENERGY_APPLICATION</t>
        </is>
      </c>
      <c r="B1144" t="inlineStr">
        <is>
          <t>Entity</t>
        </is>
      </c>
      <c r="C1144" t="inlineStr">
        <is>
          <t>PD_SourceModel</t>
        </is>
      </c>
      <c r="D1144" s="6" t="inlineStr">
        <is>
          <t>05_Carbon_Calculator</t>
        </is>
      </c>
      <c r="E1144" s="6" t="inlineStr">
        <is>
          <t>05_Carbon_Calculator</t>
        </is>
      </c>
      <c r="F1144" s="12" t="inlineStr">
        <is>
          <t>PASS</t>
        </is>
      </c>
      <c r="H1144" s="6" t="n"/>
    </row>
    <row r="1145">
      <c r="A1145" t="inlineStr">
        <is>
          <t>PCF_CLIENT_PRODUCT_REGION_ENERGY_APPLICATION</t>
        </is>
      </c>
      <c r="B1145" t="inlineStr">
        <is>
          <t>Entity</t>
        </is>
      </c>
      <c r="C1145" t="inlineStr">
        <is>
          <t>SensitivePersonalData</t>
        </is>
      </c>
      <c r="D1145" s="6" t="inlineStr">
        <is>
          <t>No Sensitive Personal Data</t>
        </is>
      </c>
      <c r="E1145" s="6" t="inlineStr">
        <is>
          <t>No Sensitive Personal Data</t>
        </is>
      </c>
      <c r="F1145" s="12" t="inlineStr">
        <is>
          <t>PASS</t>
        </is>
      </c>
      <c r="G1145" t="inlineStr">
        <is>
          <t>BIM-core.SensitivePersonalData</t>
        </is>
      </c>
      <c r="H1145" s="6" t="n"/>
    </row>
    <row r="1146">
      <c r="A1146" t="inlineStr">
        <is>
          <t>PCF_CLIENT_PRODUCT_REGION_INTENDED_USE</t>
        </is>
      </c>
      <c r="B1146" t="inlineStr">
        <is>
          <t>Entity</t>
        </is>
      </c>
      <c r="C1146" t="inlineStr">
        <is>
          <t>CommerciallySensitiveInformation</t>
        </is>
      </c>
      <c r="D1146" s="6" t="inlineStr">
        <is>
          <t>No Commercially Sensitive Information</t>
        </is>
      </c>
      <c r="E1146" s="6" t="inlineStr">
        <is>
          <t>No Commercially Sensitive Information</t>
        </is>
      </c>
      <c r="F1146" s="12" t="inlineStr">
        <is>
          <t>PASS</t>
        </is>
      </c>
      <c r="G1146" t="inlineStr">
        <is>
          <t>BIM-core.CommerciallySensitiveInformation</t>
        </is>
      </c>
      <c r="H1146" s="6" t="n"/>
    </row>
    <row r="1147">
      <c r="A1147" t="inlineStr">
        <is>
          <t>PCF_CLIENT_PRODUCT_REGION_INTENDED_USE</t>
        </is>
      </c>
      <c r="B1147" t="inlineStr">
        <is>
          <t>Entity</t>
        </is>
      </c>
      <c r="C1147" t="inlineStr">
        <is>
          <t>Criticality</t>
        </is>
      </c>
      <c r="D1147" s="6" t="inlineStr">
        <is>
          <t>No Critical Data</t>
        </is>
      </c>
      <c r="E1147" s="6" t="inlineStr">
        <is>
          <t>No Critical Data</t>
        </is>
      </c>
      <c r="F1147" s="12" t="inlineStr">
        <is>
          <t>PASS</t>
        </is>
      </c>
      <c r="G1147" t="inlineStr">
        <is>
          <t>BIM-core.Criticality</t>
        </is>
      </c>
      <c r="H1147" s="6" t="n"/>
    </row>
    <row r="1148">
      <c r="A1148" t="inlineStr">
        <is>
          <t>PCF_CLIENT_PRODUCT_REGION_INTENDED_USE</t>
        </is>
      </c>
      <c r="B1148" t="inlineStr">
        <is>
          <t>Entity</t>
        </is>
      </c>
      <c r="C1148" t="inlineStr">
        <is>
          <t>DataCategory</t>
        </is>
      </c>
      <c r="D1148" s="6" t="inlineStr">
        <is>
          <t>Structured</t>
        </is>
      </c>
      <c r="E1148" s="6" t="inlineStr">
        <is>
          <t>Structured</t>
        </is>
      </c>
      <c r="F1148" s="12" t="inlineStr">
        <is>
          <t>PASS</t>
        </is>
      </c>
      <c r="G1148" t="inlineStr">
        <is>
          <t>BIM-core.DataCategory</t>
        </is>
      </c>
      <c r="H1148" s="6" t="n"/>
    </row>
    <row r="1149">
      <c r="A1149" t="inlineStr">
        <is>
          <t>PCF_CLIENT_PRODUCT_REGION_INTENDED_USE</t>
        </is>
      </c>
      <c r="B1149" t="inlineStr">
        <is>
          <t>Entity</t>
        </is>
      </c>
      <c r="C1149" t="inlineStr">
        <is>
          <t>DataConfidentiality</t>
        </is>
      </c>
      <c r="D1149" s="6" t="inlineStr">
        <is>
          <t>Internal</t>
        </is>
      </c>
      <c r="E1149" s="6" t="inlineStr">
        <is>
          <t>Internal</t>
        </is>
      </c>
      <c r="F1149" s="12" t="inlineStr">
        <is>
          <t>PASS</t>
        </is>
      </c>
      <c r="G1149" t="inlineStr">
        <is>
          <t>BIM-core.DataConfidentiality</t>
        </is>
      </c>
      <c r="H1149" s="6" t="n"/>
    </row>
    <row r="1150">
      <c r="A1150" t="inlineStr">
        <is>
          <t>PCF_CLIENT_PRODUCT_REGION_INTENDED_USE</t>
        </is>
      </c>
      <c r="B1150" t="inlineStr">
        <is>
          <t>Entity</t>
        </is>
      </c>
      <c r="C1150" t="inlineStr">
        <is>
          <t>DesignStatus</t>
        </is>
      </c>
      <c r="D1150" s="6" t="inlineStr">
        <is>
          <t>Approved</t>
        </is>
      </c>
      <c r="E1150" s="6" t="inlineStr">
        <is>
          <t>Approved</t>
        </is>
      </c>
      <c r="F1150" s="12" t="inlineStr">
        <is>
          <t>PASS</t>
        </is>
      </c>
      <c r="G1150" t="inlineStr">
        <is>
          <t>BIM-core.DesignStatus</t>
        </is>
      </c>
      <c r="H1150" s="6" t="n"/>
    </row>
    <row r="1151">
      <c r="A1151" t="inlineStr">
        <is>
          <t>PCF_CLIENT_PRODUCT_REGION_INTENDED_USE</t>
        </is>
      </c>
      <c r="B1151" t="inlineStr">
        <is>
          <t>Entity</t>
        </is>
      </c>
      <c r="C1151" t="inlineStr">
        <is>
          <t>EntityCategory</t>
        </is>
      </c>
      <c r="D1151" s="6" t="inlineStr">
        <is>
          <t>Transaction</t>
        </is>
      </c>
      <c r="E1151" s="6" t="inlineStr">
        <is>
          <t>Transaction</t>
        </is>
      </c>
      <c r="F1151" s="12" t="inlineStr">
        <is>
          <t>PASS</t>
        </is>
      </c>
      <c r="G1151" t="inlineStr">
        <is>
          <t>BIM-core.EntityCategory</t>
        </is>
      </c>
      <c r="H1151" s="6" t="n"/>
    </row>
    <row r="1152">
      <c r="A1152" t="inlineStr">
        <is>
          <t>PCF_CLIENT_PRODUCT_REGION_INTENDED_USE</t>
        </is>
      </c>
      <c r="B1152" t="inlineStr">
        <is>
          <t>Entity</t>
        </is>
      </c>
      <c r="C1152" t="inlineStr">
        <is>
          <t>EntityPersonalData</t>
        </is>
      </c>
      <c r="D1152" s="6" t="inlineStr">
        <is>
          <t>No Personal Data</t>
        </is>
      </c>
      <c r="E1152" s="6" t="inlineStr">
        <is>
          <t>No Personal Data</t>
        </is>
      </c>
      <c r="F1152" s="12" t="inlineStr">
        <is>
          <t>PASS</t>
        </is>
      </c>
      <c r="G1152" t="inlineStr">
        <is>
          <t>BIM-core.EntityPersonalData</t>
        </is>
      </c>
      <c r="H1152" s="6" t="n"/>
    </row>
    <row r="1153">
      <c r="A1153" t="inlineStr">
        <is>
          <t>PCF_CLIENT_PRODUCT_REGION_INTENDED_USE</t>
        </is>
      </c>
      <c r="B1153" t="inlineStr">
        <is>
          <t>Entity</t>
        </is>
      </c>
      <c r="C1153" t="inlineStr">
        <is>
          <t>FinancialPersonalData</t>
        </is>
      </c>
      <c r="D1153" s="6" t="inlineStr">
        <is>
          <t>No Financial Personal Data</t>
        </is>
      </c>
      <c r="E1153" s="6" t="inlineStr">
        <is>
          <t>No Financial Personal Data</t>
        </is>
      </c>
      <c r="F1153" s="12" t="inlineStr">
        <is>
          <t>PASS</t>
        </is>
      </c>
      <c r="G1153" t="inlineStr">
        <is>
          <t>BIM-core.FinancialPersonalData</t>
        </is>
      </c>
      <c r="H1153" s="6" t="n"/>
    </row>
    <row r="1154">
      <c r="A1154" t="inlineStr">
        <is>
          <t>PCF_CLIENT_PRODUCT_REGION_INTENDED_USE</t>
        </is>
      </c>
      <c r="B1154" t="inlineStr">
        <is>
          <t>Entity</t>
        </is>
      </c>
      <c r="C1154" t="inlineStr">
        <is>
          <t>MTED_EDaM_Mapping_Note</t>
        </is>
      </c>
      <c r="D1154" s="6" t="inlineStr">
        <is>
          <t>{\rtf1\ansi\ansicpg1252\deff0\nouicompat\deflang2057{\fonttbl{\f0\fnil\fcharset0 Times New Roman;}}</t>
        </is>
      </c>
      <c r="E1154" s="6" t="inlineStr">
        <is>
          <t>{\rtf1\ansi\ansicpg1252\deff0\nouicompat\deflang2057{\fonttbl{\f0\fnil\fcharset0 Times New Roman;}}</t>
        </is>
      </c>
      <c r="F1154" s="12" t="inlineStr">
        <is>
          <t>PASS</t>
        </is>
      </c>
      <c r="G1154" t="inlineStr">
        <is>
          <t>BIM-core.MTED_EDaM_Mapping_Note</t>
        </is>
      </c>
      <c r="H1154" s="6" t="n"/>
    </row>
    <row r="1155">
      <c r="A1155" t="inlineStr">
        <is>
          <t>PCF_CLIENT_PRODUCT_REGION_INTENDED_USE</t>
        </is>
      </c>
      <c r="B1155" t="inlineStr">
        <is>
          <t>Entity</t>
        </is>
      </c>
      <c r="C1155" t="inlineStr">
        <is>
          <t>MappingLevel</t>
        </is>
      </c>
      <c r="D1155" s="6" t="inlineStr">
        <is>
          <t>Application Specific</t>
        </is>
      </c>
      <c r="E1155" s="6" t="inlineStr">
        <is>
          <t>Application Specific</t>
        </is>
      </c>
      <c r="F1155" s="12" t="inlineStr">
        <is>
          <t>PASS</t>
        </is>
      </c>
      <c r="G1155" t="inlineStr">
        <is>
          <t>BIM-core.MappingLevel</t>
        </is>
      </c>
      <c r="H1155" s="6" t="n"/>
    </row>
    <row r="1156">
      <c r="A1156" t="inlineStr">
        <is>
          <t>PCF_CLIENT_PRODUCT_REGION_INTENDED_USE</t>
        </is>
      </c>
      <c r="B1156" t="inlineStr">
        <is>
          <t>Entity</t>
        </is>
      </c>
      <c r="C1156" t="inlineStr">
        <is>
          <t>PD_ObjectID</t>
        </is>
      </c>
      <c r="D1156" s="6" t="inlineStr">
        <is>
          <t>A0E8D3D2-A330-48FA-9483-D603F81D7010</t>
        </is>
      </c>
      <c r="E1156" s="6" t="inlineStr">
        <is>
          <t>A0E8D3D2-A330-48FA-9483-D603F81D7010</t>
        </is>
      </c>
      <c r="F1156" s="12" t="inlineStr">
        <is>
          <t>PASS</t>
        </is>
      </c>
      <c r="H1156" s="6" t="n"/>
    </row>
    <row r="1157">
      <c r="A1157" t="inlineStr">
        <is>
          <t>PCF_CLIENT_PRODUCT_REGION_INTENDED_USE</t>
        </is>
      </c>
      <c r="B1157" t="inlineStr">
        <is>
          <t>Entity</t>
        </is>
      </c>
      <c r="C1157" t="inlineStr">
        <is>
          <t>PD_SourceExtraction</t>
        </is>
      </c>
      <c r="D1157" s="6" t="inlineStr">
        <is>
          <t>46603045</t>
        </is>
      </c>
      <c r="E1157" s="6" t="inlineStr">
        <is>
          <t>46603045</t>
        </is>
      </c>
      <c r="F1157" s="12" t="inlineStr">
        <is>
          <t>PASS</t>
        </is>
      </c>
      <c r="H1157" s="6" t="n"/>
    </row>
    <row r="1158">
      <c r="A1158" t="inlineStr">
        <is>
          <t>PCF_CLIENT_PRODUCT_REGION_INTENDED_USE</t>
        </is>
      </c>
      <c r="B1158" t="inlineStr">
        <is>
          <t>Entity</t>
        </is>
      </c>
      <c r="C1158" t="inlineStr">
        <is>
          <t>PD_SourceModel</t>
        </is>
      </c>
      <c r="D1158" s="6" t="inlineStr">
        <is>
          <t>05_Carbon_Calculator</t>
        </is>
      </c>
      <c r="E1158" s="6" t="inlineStr">
        <is>
          <t>05_Carbon_Calculator</t>
        </is>
      </c>
      <c r="F1158" s="12" t="inlineStr">
        <is>
          <t>PASS</t>
        </is>
      </c>
      <c r="H1158" s="6" t="n"/>
    </row>
    <row r="1159">
      <c r="A1159" t="inlineStr">
        <is>
          <t>PCF_CLIENT_PRODUCT_REGION_INTENDED_USE</t>
        </is>
      </c>
      <c r="B1159" t="inlineStr">
        <is>
          <t>Entity</t>
        </is>
      </c>
      <c r="C1159" t="inlineStr">
        <is>
          <t>SensitivePersonalData</t>
        </is>
      </c>
      <c r="D1159" s="6" t="inlineStr">
        <is>
          <t>No Sensitive Personal Data</t>
        </is>
      </c>
      <c r="E1159" s="6" t="inlineStr">
        <is>
          <t>No Sensitive Personal Data</t>
        </is>
      </c>
      <c r="F1159" s="12" t="inlineStr">
        <is>
          <t>PASS</t>
        </is>
      </c>
      <c r="G1159" t="inlineStr">
        <is>
          <t>BIM-core.SensitivePersonalData</t>
        </is>
      </c>
      <c r="H1159" s="6" t="n"/>
    </row>
    <row r="1160">
      <c r="A1160" t="inlineStr">
        <is>
          <t>PCF_CLIENT_PRODUCT_REGION_UOM</t>
        </is>
      </c>
      <c r="B1160" t="inlineStr">
        <is>
          <t>Entity</t>
        </is>
      </c>
      <c r="C1160" t="inlineStr">
        <is>
          <t>CommerciallySensitiveInformation</t>
        </is>
      </c>
      <c r="D1160" s="6" t="inlineStr">
        <is>
          <t>No Commercially Sensitive Information</t>
        </is>
      </c>
      <c r="E1160" s="6" t="inlineStr">
        <is>
          <t>No Commercially Sensitive Information</t>
        </is>
      </c>
      <c r="F1160" s="12" t="inlineStr">
        <is>
          <t>PASS</t>
        </is>
      </c>
      <c r="G1160" t="inlineStr">
        <is>
          <t>BIM-core.CommerciallySensitiveInformation</t>
        </is>
      </c>
      <c r="H1160" s="6" t="n"/>
    </row>
    <row r="1161">
      <c r="A1161" t="inlineStr">
        <is>
          <t>PCF_CLIENT_PRODUCT_REGION_UOM</t>
        </is>
      </c>
      <c r="B1161" t="inlineStr">
        <is>
          <t>Entity</t>
        </is>
      </c>
      <c r="C1161" t="inlineStr">
        <is>
          <t>Criticality</t>
        </is>
      </c>
      <c r="D1161" s="6" t="inlineStr">
        <is>
          <t>No Critical Data</t>
        </is>
      </c>
      <c r="E1161" s="6" t="inlineStr">
        <is>
          <t>No Critical Data</t>
        </is>
      </c>
      <c r="F1161" s="12" t="inlineStr">
        <is>
          <t>PASS</t>
        </is>
      </c>
      <c r="G1161" t="inlineStr">
        <is>
          <t>BIM-core.Criticality</t>
        </is>
      </c>
      <c r="H1161" s="6" t="n"/>
    </row>
    <row r="1162">
      <c r="A1162" t="inlineStr">
        <is>
          <t>PCF_CLIENT_PRODUCT_REGION_UOM</t>
        </is>
      </c>
      <c r="B1162" t="inlineStr">
        <is>
          <t>Entity</t>
        </is>
      </c>
      <c r="C1162" t="inlineStr">
        <is>
          <t>DataCategory</t>
        </is>
      </c>
      <c r="D1162" s="6" t="inlineStr">
        <is>
          <t>Structured</t>
        </is>
      </c>
      <c r="E1162" s="6" t="inlineStr">
        <is>
          <t>Structured</t>
        </is>
      </c>
      <c r="F1162" s="12" t="inlineStr">
        <is>
          <t>PASS</t>
        </is>
      </c>
      <c r="G1162" t="inlineStr">
        <is>
          <t>BIM-core.DataCategory</t>
        </is>
      </c>
      <c r="H1162" s="6" t="n"/>
    </row>
    <row r="1163">
      <c r="A1163" t="inlineStr">
        <is>
          <t>PCF_CLIENT_PRODUCT_REGION_UOM</t>
        </is>
      </c>
      <c r="B1163" t="inlineStr">
        <is>
          <t>Entity</t>
        </is>
      </c>
      <c r="C1163" t="inlineStr">
        <is>
          <t>DataConfidentiality</t>
        </is>
      </c>
      <c r="D1163" s="6" t="inlineStr">
        <is>
          <t>Internal</t>
        </is>
      </c>
      <c r="E1163" s="6" t="inlineStr">
        <is>
          <t>Internal</t>
        </is>
      </c>
      <c r="F1163" s="12" t="inlineStr">
        <is>
          <t>PASS</t>
        </is>
      </c>
      <c r="G1163" t="inlineStr">
        <is>
          <t>BIM-core.DataConfidentiality</t>
        </is>
      </c>
      <c r="H1163" s="6" t="n"/>
    </row>
    <row r="1164">
      <c r="A1164" t="inlineStr">
        <is>
          <t>PCF_CLIENT_PRODUCT_REGION_UOM</t>
        </is>
      </c>
      <c r="B1164" t="inlineStr">
        <is>
          <t>Entity</t>
        </is>
      </c>
      <c r="C1164" t="inlineStr">
        <is>
          <t>DesignStatus</t>
        </is>
      </c>
      <c r="D1164" s="6" t="inlineStr">
        <is>
          <t>Approved</t>
        </is>
      </c>
      <c r="E1164" s="6" t="inlineStr">
        <is>
          <t>Approved</t>
        </is>
      </c>
      <c r="F1164" s="12" t="inlineStr">
        <is>
          <t>PASS</t>
        </is>
      </c>
      <c r="G1164" t="inlineStr">
        <is>
          <t>BIM-core.DesignStatus</t>
        </is>
      </c>
      <c r="H1164" s="6" t="n"/>
    </row>
    <row r="1165">
      <c r="A1165" t="inlineStr">
        <is>
          <t>PCF_CLIENT_PRODUCT_REGION_UOM</t>
        </is>
      </c>
      <c r="B1165" t="inlineStr">
        <is>
          <t>Entity</t>
        </is>
      </c>
      <c r="C1165" t="inlineStr">
        <is>
          <t>EntityCategory</t>
        </is>
      </c>
      <c r="D1165" s="6" t="inlineStr">
        <is>
          <t>Transaction</t>
        </is>
      </c>
      <c r="E1165" s="6" t="inlineStr">
        <is>
          <t>Transaction</t>
        </is>
      </c>
      <c r="F1165" s="12" t="inlineStr">
        <is>
          <t>PASS</t>
        </is>
      </c>
      <c r="G1165" t="inlineStr">
        <is>
          <t>BIM-core.EntityCategory</t>
        </is>
      </c>
      <c r="H1165" s="6" t="n"/>
    </row>
    <row r="1166">
      <c r="A1166" t="inlineStr">
        <is>
          <t>PCF_CLIENT_PRODUCT_REGION_UOM</t>
        </is>
      </c>
      <c r="B1166" t="inlineStr">
        <is>
          <t>Entity</t>
        </is>
      </c>
      <c r="C1166" t="inlineStr">
        <is>
          <t>EntityPersonalData</t>
        </is>
      </c>
      <c r="D1166" s="6" t="inlineStr">
        <is>
          <t>No Personal Data</t>
        </is>
      </c>
      <c r="E1166" s="6" t="inlineStr">
        <is>
          <t>No Personal Data</t>
        </is>
      </c>
      <c r="F1166" s="12" t="inlineStr">
        <is>
          <t>PASS</t>
        </is>
      </c>
      <c r="G1166" t="inlineStr">
        <is>
          <t>BIM-core.EntityPersonalData</t>
        </is>
      </c>
      <c r="H1166" s="6" t="n"/>
    </row>
    <row r="1167">
      <c r="A1167" t="inlineStr">
        <is>
          <t>PCF_CLIENT_PRODUCT_REGION_UOM</t>
        </is>
      </c>
      <c r="B1167" t="inlineStr">
        <is>
          <t>Entity</t>
        </is>
      </c>
      <c r="C1167" t="inlineStr">
        <is>
          <t>FinancialPersonalData</t>
        </is>
      </c>
      <c r="D1167" s="6" t="inlineStr">
        <is>
          <t>No Financial Personal Data</t>
        </is>
      </c>
      <c r="E1167" s="6" t="inlineStr">
        <is>
          <t>No Financial Personal Data</t>
        </is>
      </c>
      <c r="F1167" s="12" t="inlineStr">
        <is>
          <t>PASS</t>
        </is>
      </c>
      <c r="G1167" t="inlineStr">
        <is>
          <t>BIM-core.FinancialPersonalData</t>
        </is>
      </c>
      <c r="H1167" s="6" t="n"/>
    </row>
    <row r="1168">
      <c r="A1168" t="inlineStr">
        <is>
          <t>PCF_CLIENT_PRODUCT_REGION_UOM</t>
        </is>
      </c>
      <c r="B1168" t="inlineStr">
        <is>
          <t>Entity</t>
        </is>
      </c>
      <c r="C1168" t="inlineStr">
        <is>
          <t>MTED_EDaM_Mapping_Note</t>
        </is>
      </c>
      <c r="D1168" s="6" t="inlineStr">
        <is>
          <t>{\rtf1\ansi\ansicpg1252\deff0\nouicompat\deflang2057{\fonttbl{\f0\fnil\fcharset0 Times New Roman;}}</t>
        </is>
      </c>
      <c r="E1168" s="6" t="inlineStr">
        <is>
          <t>{\rtf1\ansi\ansicpg1252\deff0\nouicompat\deflang2057{\fonttbl{\f0\fnil\fcharset0 Times New Roman;}}</t>
        </is>
      </c>
      <c r="F1168" s="12" t="inlineStr">
        <is>
          <t>PASS</t>
        </is>
      </c>
      <c r="G1168" t="inlineStr">
        <is>
          <t>BIM-core.MTED_EDaM_Mapping_Note</t>
        </is>
      </c>
      <c r="H1168" s="6" t="n"/>
    </row>
    <row r="1169">
      <c r="A1169" t="inlineStr">
        <is>
          <t>PCF_CLIENT_PRODUCT_REGION_UOM</t>
        </is>
      </c>
      <c r="B1169" t="inlineStr">
        <is>
          <t>Entity</t>
        </is>
      </c>
      <c r="C1169" t="inlineStr">
        <is>
          <t>MappingLevel</t>
        </is>
      </c>
      <c r="D1169" s="6" t="inlineStr">
        <is>
          <t>Application Specific</t>
        </is>
      </c>
      <c r="E1169" s="6" t="inlineStr">
        <is>
          <t>Application Specific</t>
        </is>
      </c>
      <c r="F1169" s="12" t="inlineStr">
        <is>
          <t>PASS</t>
        </is>
      </c>
      <c r="G1169" t="inlineStr">
        <is>
          <t>BIM-core.MappingLevel</t>
        </is>
      </c>
      <c r="H1169" s="6" t="n"/>
    </row>
    <row r="1170">
      <c r="A1170" t="inlineStr">
        <is>
          <t>PCF_CLIENT_PRODUCT_REGION_UOM</t>
        </is>
      </c>
      <c r="B1170" t="inlineStr">
        <is>
          <t>Entity</t>
        </is>
      </c>
      <c r="C1170" t="inlineStr">
        <is>
          <t>PD_ObjectID</t>
        </is>
      </c>
      <c r="D1170" s="6" t="inlineStr">
        <is>
          <t>92E942BF-9BB4-4CDD-B822-E0495839B53E</t>
        </is>
      </c>
      <c r="E1170" s="6" t="inlineStr">
        <is>
          <t>92E942BF-9BB4-4CDD-B822-E0495839B53E</t>
        </is>
      </c>
      <c r="F1170" s="12" t="inlineStr">
        <is>
          <t>PASS</t>
        </is>
      </c>
      <c r="H1170" s="6" t="n"/>
    </row>
    <row r="1171">
      <c r="A1171" t="inlineStr">
        <is>
          <t>PCF_CLIENT_PRODUCT_REGION_UOM</t>
        </is>
      </c>
      <c r="B1171" t="inlineStr">
        <is>
          <t>Entity</t>
        </is>
      </c>
      <c r="C1171" t="inlineStr">
        <is>
          <t>PD_SourceExtraction</t>
        </is>
      </c>
      <c r="D1171" s="6" t="inlineStr">
        <is>
          <t>46603045</t>
        </is>
      </c>
      <c r="E1171" s="6" t="inlineStr">
        <is>
          <t>46603045</t>
        </is>
      </c>
      <c r="F1171" s="12" t="inlineStr">
        <is>
          <t>PASS</t>
        </is>
      </c>
      <c r="H1171" s="6" t="n"/>
    </row>
    <row r="1172">
      <c r="A1172" t="inlineStr">
        <is>
          <t>PCF_CLIENT_PRODUCT_REGION_UOM</t>
        </is>
      </c>
      <c r="B1172" t="inlineStr">
        <is>
          <t>Entity</t>
        </is>
      </c>
      <c r="C1172" t="inlineStr">
        <is>
          <t>PD_SourceModel</t>
        </is>
      </c>
      <c r="D1172" s="6" t="inlineStr">
        <is>
          <t>05_Carbon_Calculator</t>
        </is>
      </c>
      <c r="E1172" s="6" t="inlineStr">
        <is>
          <t>05_Carbon_Calculator</t>
        </is>
      </c>
      <c r="F1172" s="12" t="inlineStr">
        <is>
          <t>PASS</t>
        </is>
      </c>
      <c r="H1172" s="6" t="n"/>
    </row>
    <row r="1173">
      <c r="A1173" t="inlineStr">
        <is>
          <t>PCF_CLIENT_PRODUCT_REGION_UOM</t>
        </is>
      </c>
      <c r="B1173" t="inlineStr">
        <is>
          <t>Entity</t>
        </is>
      </c>
      <c r="C1173" t="inlineStr">
        <is>
          <t>SensitivePersonalData</t>
        </is>
      </c>
      <c r="D1173" s="6" t="inlineStr">
        <is>
          <t>No Sensitive Personal Data</t>
        </is>
      </c>
      <c r="E1173" s="6" t="inlineStr">
        <is>
          <t>No Sensitive Personal Data</t>
        </is>
      </c>
      <c r="F1173" s="12" t="inlineStr">
        <is>
          <t>PASS</t>
        </is>
      </c>
      <c r="G1173" t="inlineStr">
        <is>
          <t>BIM-core.SensitivePersonalData</t>
        </is>
      </c>
      <c r="H1173" s="6" t="n"/>
    </row>
    <row r="1174">
      <c r="A1174" t="inlineStr">
        <is>
          <t>PRODUCT</t>
        </is>
      </c>
      <c r="B1174" t="inlineStr">
        <is>
          <t>Entity</t>
        </is>
      </c>
      <c r="C1174" t="inlineStr">
        <is>
          <t>CommerciallySensitiveInformation</t>
        </is>
      </c>
      <c r="D1174" s="6" t="inlineStr">
        <is>
          <t>No Commercially Sensitive Information</t>
        </is>
      </c>
      <c r="E1174" s="6" t="inlineStr">
        <is>
          <t>No Commercially Sensitive Information</t>
        </is>
      </c>
      <c r="F1174" s="12" t="inlineStr">
        <is>
          <t>PASS</t>
        </is>
      </c>
      <c r="G1174" t="inlineStr">
        <is>
          <t>BIM-core.CommerciallySensitiveInformation</t>
        </is>
      </c>
      <c r="H1174" s="6" t="n"/>
    </row>
    <row r="1175">
      <c r="A1175" t="inlineStr">
        <is>
          <t>PRODUCT</t>
        </is>
      </c>
      <c r="B1175" t="inlineStr">
        <is>
          <t>Entity</t>
        </is>
      </c>
      <c r="C1175" t="inlineStr">
        <is>
          <t>Criticality</t>
        </is>
      </c>
      <c r="D1175" s="6" t="inlineStr">
        <is>
          <t>No Critical Data</t>
        </is>
      </c>
      <c r="E1175" s="6" t="inlineStr">
        <is>
          <t>No Critical Data</t>
        </is>
      </c>
      <c r="F1175" s="12" t="inlineStr">
        <is>
          <t>PASS</t>
        </is>
      </c>
      <c r="G1175" t="inlineStr">
        <is>
          <t>BIM-core.Criticality</t>
        </is>
      </c>
      <c r="H1175" s="6" t="n"/>
    </row>
    <row r="1176">
      <c r="A1176" t="inlineStr">
        <is>
          <t>PRODUCT</t>
        </is>
      </c>
      <c r="B1176" t="inlineStr">
        <is>
          <t>Entity</t>
        </is>
      </c>
      <c r="C1176" t="inlineStr">
        <is>
          <t>DataCategory</t>
        </is>
      </c>
      <c r="D1176" s="6" t="inlineStr">
        <is>
          <t>Structured</t>
        </is>
      </c>
      <c r="E1176" s="6" t="inlineStr">
        <is>
          <t>Structured</t>
        </is>
      </c>
      <c r="F1176" s="12" t="inlineStr">
        <is>
          <t>PASS</t>
        </is>
      </c>
      <c r="G1176" t="inlineStr">
        <is>
          <t>BIM-core.DataCategory</t>
        </is>
      </c>
      <c r="H1176" s="6" t="n"/>
    </row>
    <row r="1177">
      <c r="A1177" t="inlineStr">
        <is>
          <t>PRODUCT</t>
        </is>
      </c>
      <c r="B1177" t="inlineStr">
        <is>
          <t>Entity</t>
        </is>
      </c>
      <c r="C1177" t="inlineStr">
        <is>
          <t>DataConfidentiality</t>
        </is>
      </c>
      <c r="D1177" s="6" t="inlineStr">
        <is>
          <t>Internal</t>
        </is>
      </c>
      <c r="E1177" s="6" t="inlineStr">
        <is>
          <t>Internal</t>
        </is>
      </c>
      <c r="F1177" s="12" t="inlineStr">
        <is>
          <t>PASS</t>
        </is>
      </c>
      <c r="G1177" t="inlineStr">
        <is>
          <t>BIM-core.DataConfidentiality</t>
        </is>
      </c>
      <c r="H1177" s="6" t="n"/>
    </row>
    <row r="1178">
      <c r="A1178" t="inlineStr">
        <is>
          <t>PRODUCT</t>
        </is>
      </c>
      <c r="B1178" t="inlineStr">
        <is>
          <t>Entity</t>
        </is>
      </c>
      <c r="C1178" t="inlineStr">
        <is>
          <t>DesignStatus</t>
        </is>
      </c>
      <c r="D1178" s="6" t="inlineStr">
        <is>
          <t>Approved</t>
        </is>
      </c>
      <c r="E1178" s="6" t="inlineStr">
        <is>
          <t>Approved</t>
        </is>
      </c>
      <c r="F1178" s="12" t="inlineStr">
        <is>
          <t>PASS</t>
        </is>
      </c>
      <c r="G1178" t="inlineStr">
        <is>
          <t>BIM-core.DesignStatus</t>
        </is>
      </c>
      <c r="H1178" s="6" t="n"/>
    </row>
    <row r="1179">
      <c r="A1179" t="inlineStr">
        <is>
          <t>PRODUCT</t>
        </is>
      </c>
      <c r="B1179" t="inlineStr">
        <is>
          <t>Entity</t>
        </is>
      </c>
      <c r="C1179" t="inlineStr">
        <is>
          <t>EntityCategory</t>
        </is>
      </c>
      <c r="D1179" s="6" t="inlineStr">
        <is>
          <t>Master</t>
        </is>
      </c>
      <c r="E1179" s="6" t="inlineStr">
        <is>
          <t>Master</t>
        </is>
      </c>
      <c r="F1179" s="12" t="inlineStr">
        <is>
          <t>PASS</t>
        </is>
      </c>
      <c r="G1179" t="inlineStr">
        <is>
          <t>BIM-core.EntityCategory</t>
        </is>
      </c>
      <c r="H1179" s="6" t="n"/>
    </row>
    <row r="1180">
      <c r="A1180" t="inlineStr">
        <is>
          <t>PRODUCT</t>
        </is>
      </c>
      <c r="B1180" t="inlineStr">
        <is>
          <t>Entity</t>
        </is>
      </c>
      <c r="C1180" t="inlineStr">
        <is>
          <t>EntityPersonalData</t>
        </is>
      </c>
      <c r="D1180" s="6" t="inlineStr">
        <is>
          <t>No Personal Data</t>
        </is>
      </c>
      <c r="E1180" s="6" t="inlineStr">
        <is>
          <t>No Personal Data</t>
        </is>
      </c>
      <c r="F1180" s="12" t="inlineStr">
        <is>
          <t>PASS</t>
        </is>
      </c>
      <c r="G1180" t="inlineStr">
        <is>
          <t>BIM-core.EntityPersonalData</t>
        </is>
      </c>
      <c r="H1180" s="6" t="n"/>
    </row>
    <row r="1181">
      <c r="A1181" t="inlineStr">
        <is>
          <t>PRODUCT</t>
        </is>
      </c>
      <c r="B1181" t="inlineStr">
        <is>
          <t>Entity</t>
        </is>
      </c>
      <c r="C1181" t="inlineStr">
        <is>
          <t>FinancialPersonalData</t>
        </is>
      </c>
      <c r="D1181" s="6" t="inlineStr">
        <is>
          <t>No Financial Personal Data</t>
        </is>
      </c>
      <c r="E1181" s="6" t="inlineStr">
        <is>
          <t>No Financial Personal Data</t>
        </is>
      </c>
      <c r="F1181" s="12" t="inlineStr">
        <is>
          <t>PASS</t>
        </is>
      </c>
      <c r="G1181" t="inlineStr">
        <is>
          <t>BIM-core.FinancialPersonalData</t>
        </is>
      </c>
      <c r="H1181" s="6" t="n"/>
    </row>
    <row r="1182">
      <c r="A1182" t="inlineStr">
        <is>
          <t>PRODUCT</t>
        </is>
      </c>
      <c r="B1182" t="inlineStr">
        <is>
          <t>Entity</t>
        </is>
      </c>
      <c r="C1182" t="inlineStr">
        <is>
          <t>MappingLevel</t>
        </is>
      </c>
      <c r="D1182" s="6" t="inlineStr">
        <is>
          <t>BLM</t>
        </is>
      </c>
      <c r="E1182" s="6" t="inlineStr">
        <is>
          <t>BLM</t>
        </is>
      </c>
      <c r="F1182" s="12" t="inlineStr">
        <is>
          <t>PASS</t>
        </is>
      </c>
      <c r="G1182" t="inlineStr">
        <is>
          <t>BIM-core.MappingLevel</t>
        </is>
      </c>
      <c r="H1182" s="6" t="n"/>
    </row>
    <row r="1183">
      <c r="A1183" t="inlineStr">
        <is>
          <t>PRODUCT</t>
        </is>
      </c>
      <c r="B1183" t="inlineStr">
        <is>
          <t>Entity</t>
        </is>
      </c>
      <c r="C1183" t="inlineStr">
        <is>
          <t>MapsToEntity</t>
        </is>
      </c>
      <c r="D1183" s="6" t="inlineStr">
        <is>
          <t>FUEL_PRODUCT</t>
        </is>
      </c>
      <c r="E1183" s="6" t="inlineStr">
        <is>
          <t>FUEL_PRODUCT</t>
        </is>
      </c>
      <c r="F1183" s="12" t="inlineStr">
        <is>
          <t>PASS</t>
        </is>
      </c>
      <c r="G1183" t="inlineStr">
        <is>
          <t>BIM-core.MapsToEntity</t>
        </is>
      </c>
      <c r="H1183" s="6" t="n"/>
    </row>
    <row r="1184">
      <c r="A1184" t="inlineStr">
        <is>
          <t>PRODUCT</t>
        </is>
      </c>
      <c r="B1184" t="inlineStr">
        <is>
          <t>Entity</t>
        </is>
      </c>
      <c r="C1184" t="inlineStr">
        <is>
          <t>PD_ObjectID</t>
        </is>
      </c>
      <c r="D1184" s="6" t="inlineStr">
        <is>
          <t>81F49AB7-FED9-496F-90E8-365BFC14914C</t>
        </is>
      </c>
      <c r="E1184" s="6" t="inlineStr">
        <is>
          <t>81F49AB7-FED9-496F-90E8-365BFC14914C</t>
        </is>
      </c>
      <c r="F1184" s="12" t="inlineStr">
        <is>
          <t>PASS</t>
        </is>
      </c>
      <c r="H1184" s="6" t="n"/>
    </row>
    <row r="1185">
      <c r="A1185" t="inlineStr">
        <is>
          <t>PRODUCT</t>
        </is>
      </c>
      <c r="B1185" t="inlineStr">
        <is>
          <t>Entity</t>
        </is>
      </c>
      <c r="C1185" t="inlineStr">
        <is>
          <t>PD_SourceExtraction</t>
        </is>
      </c>
      <c r="D1185" s="6" t="inlineStr">
        <is>
          <t>46603045</t>
        </is>
      </c>
      <c r="E1185" s="6" t="inlineStr">
        <is>
          <t>46603045</t>
        </is>
      </c>
      <c r="F1185" s="12" t="inlineStr">
        <is>
          <t>PASS</t>
        </is>
      </c>
      <c r="H1185" s="6" t="n"/>
    </row>
    <row r="1186">
      <c r="A1186" t="inlineStr">
        <is>
          <t>PRODUCT</t>
        </is>
      </c>
      <c r="B1186" t="inlineStr">
        <is>
          <t>Entity</t>
        </is>
      </c>
      <c r="C1186" t="inlineStr">
        <is>
          <t>PD_SourceModel</t>
        </is>
      </c>
      <c r="D1186" s="6" t="inlineStr">
        <is>
          <t>05_Carbon_Calculator</t>
        </is>
      </c>
      <c r="E1186" s="6" t="inlineStr">
        <is>
          <t>05_Carbon_Calculator</t>
        </is>
      </c>
      <c r="F1186" s="12" t="inlineStr">
        <is>
          <t>PASS</t>
        </is>
      </c>
      <c r="H1186" s="6" t="n"/>
    </row>
    <row r="1187">
      <c r="A1187" t="inlineStr">
        <is>
          <t>PRODUCT</t>
        </is>
      </c>
      <c r="B1187" t="inlineStr">
        <is>
          <t>Entity</t>
        </is>
      </c>
      <c r="C1187" t="inlineStr">
        <is>
          <t>SensitivePersonalData</t>
        </is>
      </c>
      <c r="D1187" s="6" t="inlineStr">
        <is>
          <t>No Sensitive Personal Data</t>
        </is>
      </c>
      <c r="E1187" s="6" t="inlineStr">
        <is>
          <t>No Sensitive Personal Data</t>
        </is>
      </c>
      <c r="F1187" s="12" t="inlineStr">
        <is>
          <t>PASS</t>
        </is>
      </c>
      <c r="G1187" t="inlineStr">
        <is>
          <t>BIM-core.SensitivePersonalData</t>
        </is>
      </c>
      <c r="H1187" s="6" t="n"/>
    </row>
    <row r="1188">
      <c r="A1188" t="inlineStr">
        <is>
          <t>PRODUCT_EMISSION_COMPONENT</t>
        </is>
      </c>
      <c r="B1188" t="inlineStr">
        <is>
          <t>Entity</t>
        </is>
      </c>
      <c r="C1188" t="inlineStr">
        <is>
          <t>CSI</t>
        </is>
      </c>
      <c r="D1188" s="6" t="inlineStr">
        <is>
          <t>false</t>
        </is>
      </c>
      <c r="E1188" s="6" t="inlineStr">
        <is>
          <t>false</t>
        </is>
      </c>
      <c r="F1188" s="12" t="inlineStr">
        <is>
          <t>PASS</t>
        </is>
      </c>
      <c r="G1188" t="inlineStr">
        <is>
          <t>SHL_LDM_EntityPropertyExtension.CSI</t>
        </is>
      </c>
      <c r="H1188" s="6" t="n"/>
    </row>
    <row r="1189">
      <c r="A1189" t="inlineStr">
        <is>
          <t>PRODUCT_EMISSION_COMPONENT</t>
        </is>
      </c>
      <c r="B1189" t="inlineStr">
        <is>
          <t>Entity</t>
        </is>
      </c>
      <c r="C1189" t="inlineStr">
        <is>
          <t>CommerciallySensitiveInformation</t>
        </is>
      </c>
      <c r="D1189" s="6" t="inlineStr">
        <is>
          <t>No Commercially Sensitive Information</t>
        </is>
      </c>
      <c r="E1189" s="6" t="inlineStr">
        <is>
          <t>No Commercially Sensitive Information</t>
        </is>
      </c>
      <c r="F1189" s="12" t="inlineStr">
        <is>
          <t>PASS</t>
        </is>
      </c>
      <c r="G1189" t="inlineStr">
        <is>
          <t>BIM-core.CommerciallySensitiveInformation</t>
        </is>
      </c>
      <c r="H1189" s="6" t="n"/>
    </row>
    <row r="1190">
      <c r="A1190" t="inlineStr">
        <is>
          <t>PRODUCT_EMISSION_COMPONENT</t>
        </is>
      </c>
      <c r="B1190" t="inlineStr">
        <is>
          <t>Entity</t>
        </is>
      </c>
      <c r="C1190" t="inlineStr">
        <is>
          <t>Criticality</t>
        </is>
      </c>
      <c r="D1190" s="6" t="inlineStr">
        <is>
          <t>No Critical Data</t>
        </is>
      </c>
      <c r="E1190" s="6" t="inlineStr">
        <is>
          <t>No Critical Data</t>
        </is>
      </c>
      <c r="F1190" s="12" t="inlineStr">
        <is>
          <t>PASS</t>
        </is>
      </c>
      <c r="G1190" t="inlineStr">
        <is>
          <t>BIM-core.Criticality</t>
        </is>
      </c>
      <c r="H1190" s="6" t="n"/>
    </row>
    <row r="1191">
      <c r="A1191" t="inlineStr">
        <is>
          <t>PRODUCT_EMISSION_COMPONENT</t>
        </is>
      </c>
      <c r="B1191" t="inlineStr">
        <is>
          <t>Entity</t>
        </is>
      </c>
      <c r="C1191" t="inlineStr">
        <is>
          <t>DataCategory</t>
        </is>
      </c>
      <c r="D1191" s="6" t="inlineStr">
        <is>
          <t>Structured</t>
        </is>
      </c>
      <c r="E1191" s="6" t="inlineStr">
        <is>
          <t>Structured</t>
        </is>
      </c>
      <c r="F1191" s="12" t="inlineStr">
        <is>
          <t>PASS</t>
        </is>
      </c>
      <c r="G1191" t="inlineStr">
        <is>
          <t>BIM-core.DataCategory</t>
        </is>
      </c>
      <c r="H1191" s="6" t="n"/>
    </row>
    <row r="1192">
      <c r="A1192" t="inlineStr">
        <is>
          <t>PRODUCT_EMISSION_COMPONENT</t>
        </is>
      </c>
      <c r="B1192" t="inlineStr">
        <is>
          <t>Entity</t>
        </is>
      </c>
      <c r="C1192" t="inlineStr">
        <is>
          <t>DataConfidentiality</t>
        </is>
      </c>
      <c r="D1192" s="6" t="inlineStr">
        <is>
          <t>Internal</t>
        </is>
      </c>
      <c r="E1192" s="6" t="inlineStr">
        <is>
          <t>Internal</t>
        </is>
      </c>
      <c r="F1192" s="12" t="inlineStr">
        <is>
          <t>PASS</t>
        </is>
      </c>
      <c r="G1192" t="inlineStr">
        <is>
          <t>BIM-core.DataConfidentiality</t>
        </is>
      </c>
      <c r="H1192" s="6" t="n"/>
    </row>
    <row r="1193">
      <c r="A1193" t="inlineStr">
        <is>
          <t>PRODUCT_EMISSION_COMPONENT</t>
        </is>
      </c>
      <c r="B1193" t="inlineStr">
        <is>
          <t>Entity</t>
        </is>
      </c>
      <c r="C1193" t="inlineStr">
        <is>
          <t>DesignStatus</t>
        </is>
      </c>
      <c r="D1193" s="6" t="inlineStr">
        <is>
          <t>Approved</t>
        </is>
      </c>
      <c r="E1193" s="6" t="inlineStr">
        <is>
          <t>Approved</t>
        </is>
      </c>
      <c r="F1193" s="12" t="inlineStr">
        <is>
          <t>PASS</t>
        </is>
      </c>
      <c r="G1193" t="inlineStr">
        <is>
          <t>BIM-core.DesignStatus</t>
        </is>
      </c>
      <c r="H1193" s="6" t="n"/>
    </row>
    <row r="1194">
      <c r="A1194" t="inlineStr">
        <is>
          <t>PRODUCT_EMISSION_COMPONENT</t>
        </is>
      </c>
      <c r="B1194" t="inlineStr">
        <is>
          <t>Entity</t>
        </is>
      </c>
      <c r="C1194" t="inlineStr">
        <is>
          <t>EntityCategory</t>
        </is>
      </c>
      <c r="D1194" s="6" t="inlineStr">
        <is>
          <t>Master</t>
        </is>
      </c>
      <c r="E1194" s="6" t="inlineStr">
        <is>
          <t>Master</t>
        </is>
      </c>
      <c r="F1194" s="12" t="inlineStr">
        <is>
          <t>PASS</t>
        </is>
      </c>
      <c r="G1194" t="inlineStr">
        <is>
          <t>BIM-core.EntityCategory</t>
        </is>
      </c>
      <c r="H1194" s="6" t="n"/>
    </row>
    <row r="1195">
      <c r="A1195" t="inlineStr">
        <is>
          <t>PRODUCT_EMISSION_COMPONENT</t>
        </is>
      </c>
      <c r="B1195" t="inlineStr">
        <is>
          <t>Entity</t>
        </is>
      </c>
      <c r="C1195" t="inlineStr">
        <is>
          <t>EntityPersonalData</t>
        </is>
      </c>
      <c r="D1195" s="6" t="inlineStr">
        <is>
          <t>No Personal Data</t>
        </is>
      </c>
      <c r="E1195" s="6" t="inlineStr">
        <is>
          <t>No Personal Data</t>
        </is>
      </c>
      <c r="F1195" s="12" t="inlineStr">
        <is>
          <t>PASS</t>
        </is>
      </c>
      <c r="G1195" t="inlineStr">
        <is>
          <t>BIM-core.EntityPersonalData</t>
        </is>
      </c>
      <c r="H1195" s="6" t="n"/>
    </row>
    <row r="1196">
      <c r="A1196" t="inlineStr">
        <is>
          <t>PRODUCT_EMISSION_COMPONENT</t>
        </is>
      </c>
      <c r="B1196" t="inlineStr">
        <is>
          <t>Entity</t>
        </is>
      </c>
      <c r="C1196" t="inlineStr">
        <is>
          <t>FinancialPersonalData</t>
        </is>
      </c>
      <c r="D1196" s="6" t="inlineStr">
        <is>
          <t>No Financial Personal Data</t>
        </is>
      </c>
      <c r="E1196" s="6" t="inlineStr">
        <is>
          <t>No Financial Personal Data</t>
        </is>
      </c>
      <c r="F1196" s="12" t="inlineStr">
        <is>
          <t>PASS</t>
        </is>
      </c>
      <c r="G1196" t="inlineStr">
        <is>
          <t>BIM-core.FinancialPersonalData</t>
        </is>
      </c>
      <c r="H1196" s="6" t="n"/>
    </row>
    <row r="1197">
      <c r="A1197" t="inlineStr">
        <is>
          <t>PRODUCT_EMISSION_COMPONENT</t>
        </is>
      </c>
      <c r="B1197" t="inlineStr">
        <is>
          <t>Entity</t>
        </is>
      </c>
      <c r="C1197" t="inlineStr">
        <is>
          <t>MTED_Encryption_Required</t>
        </is>
      </c>
      <c r="D1197" s="6" t="inlineStr">
        <is>
          <t>false</t>
        </is>
      </c>
      <c r="E1197" s="6" t="inlineStr">
        <is>
          <t>false</t>
        </is>
      </c>
      <c r="F1197" s="12" t="inlineStr">
        <is>
          <t>PASS</t>
        </is>
      </c>
      <c r="G1197" t="inlineStr">
        <is>
          <t>SHL_LDM_EntityPropertyExtension.MTED_Encryption_Required</t>
        </is>
      </c>
      <c r="H1197" s="6" t="n"/>
    </row>
    <row r="1198">
      <c r="A1198" t="inlineStr">
        <is>
          <t>PRODUCT_EMISSION_COMPONENT</t>
        </is>
      </c>
      <c r="B1198" t="inlineStr">
        <is>
          <t>Entity</t>
        </is>
      </c>
      <c r="C1198" t="inlineStr">
        <is>
          <t>MappingLevel</t>
        </is>
      </c>
      <c r="D1198" s="6" t="inlineStr">
        <is>
          <t>BLM</t>
        </is>
      </c>
      <c r="E1198" s="6" t="inlineStr">
        <is>
          <t>BLM</t>
        </is>
      </c>
      <c r="F1198" s="12" t="inlineStr">
        <is>
          <t>PASS</t>
        </is>
      </c>
      <c r="G1198" t="inlineStr">
        <is>
          <t>BIM-core.MappingLevel</t>
        </is>
      </c>
      <c r="H1198" s="6" t="n"/>
    </row>
    <row r="1199">
      <c r="A1199" t="inlineStr">
        <is>
          <t>PRODUCT_EMISSION_COMPONENT</t>
        </is>
      </c>
      <c r="B1199" t="inlineStr">
        <is>
          <t>Entity</t>
        </is>
      </c>
      <c r="C1199" t="inlineStr">
        <is>
          <t>MapsToEntity</t>
        </is>
      </c>
      <c r="D1199" s="6" t="inlineStr">
        <is>
          <t>FUEL_MARKET_PRODUCT_EMISSION_COMPONENT</t>
        </is>
      </c>
      <c r="E1199" s="6" t="inlineStr">
        <is>
          <t>FUEL_MARKET_PRODUCT_EMISSION_COMPONENT</t>
        </is>
      </c>
      <c r="F1199" s="12" t="inlineStr">
        <is>
          <t>PASS</t>
        </is>
      </c>
      <c r="G1199" t="inlineStr">
        <is>
          <t>BIM-core.MapsToEntity</t>
        </is>
      </c>
      <c r="H1199" s="6" t="n"/>
    </row>
    <row r="1200">
      <c r="A1200" t="inlineStr">
        <is>
          <t>PRODUCT_EMISSION_COMPONENT</t>
        </is>
      </c>
      <c r="B1200" t="inlineStr">
        <is>
          <t>Entity</t>
        </is>
      </c>
      <c r="C1200" t="inlineStr">
        <is>
          <t>PD_ObjectID</t>
        </is>
      </c>
      <c r="D1200" s="6" t="inlineStr">
        <is>
          <t>023EB5D1-7D07-481C-8E17-FA308F74336A</t>
        </is>
      </c>
      <c r="E1200" s="6" t="inlineStr">
        <is>
          <t>023EB5D1-7D07-481C-8E17-FA308F74336A</t>
        </is>
      </c>
      <c r="F1200" s="12" t="inlineStr">
        <is>
          <t>PASS</t>
        </is>
      </c>
      <c r="H1200" s="6" t="n"/>
    </row>
    <row r="1201">
      <c r="A1201" t="inlineStr">
        <is>
          <t>PRODUCT_EMISSION_COMPONENT</t>
        </is>
      </c>
      <c r="B1201" t="inlineStr">
        <is>
          <t>Entity</t>
        </is>
      </c>
      <c r="C1201" t="inlineStr">
        <is>
          <t>PD_SourceExtraction</t>
        </is>
      </c>
      <c r="D1201" s="6" t="inlineStr">
        <is>
          <t>46603045</t>
        </is>
      </c>
      <c r="E1201" s="6" t="inlineStr">
        <is>
          <t>46603045</t>
        </is>
      </c>
      <c r="F1201" s="12" t="inlineStr">
        <is>
          <t>PASS</t>
        </is>
      </c>
      <c r="H1201" s="6" t="n"/>
    </row>
    <row r="1202">
      <c r="A1202" t="inlineStr">
        <is>
          <t>PRODUCT_EMISSION_COMPONENT</t>
        </is>
      </c>
      <c r="B1202" t="inlineStr">
        <is>
          <t>Entity</t>
        </is>
      </c>
      <c r="C1202" t="inlineStr">
        <is>
          <t>PD_SourceModel</t>
        </is>
      </c>
      <c r="D1202" s="6" t="inlineStr">
        <is>
          <t>05_Carbon_Calculator</t>
        </is>
      </c>
      <c r="E1202" s="6" t="inlineStr">
        <is>
          <t>05_Carbon_Calculator</t>
        </is>
      </c>
      <c r="F1202" s="12" t="inlineStr">
        <is>
          <t>PASS</t>
        </is>
      </c>
      <c r="H1202" s="6" t="n"/>
    </row>
    <row r="1203">
      <c r="A1203" t="inlineStr">
        <is>
          <t>PRODUCT_EMISSION_COMPONENT</t>
        </is>
      </c>
      <c r="B1203" t="inlineStr">
        <is>
          <t>Entity</t>
        </is>
      </c>
      <c r="C1203" t="inlineStr">
        <is>
          <t>SensitivePersonalData</t>
        </is>
      </c>
      <c r="D1203" s="6" t="inlineStr">
        <is>
          <t>No Sensitive Personal Data</t>
        </is>
      </c>
      <c r="E1203" s="6" t="inlineStr">
        <is>
          <t>No Sensitive Personal Data</t>
        </is>
      </c>
      <c r="F1203" s="12" t="inlineStr">
        <is>
          <t>PASS</t>
        </is>
      </c>
      <c r="G1203" t="inlineStr">
        <is>
          <t>BIM-core.SensitivePersonalData</t>
        </is>
      </c>
      <c r="H1203" s="6" t="n"/>
    </row>
    <row r="1204">
      <c r="A1204" t="inlineStr">
        <is>
          <t>PRODUCT_EMISSION_COMPONENT_HISTORY</t>
        </is>
      </c>
      <c r="B1204" t="inlineStr">
        <is>
          <t>Entity</t>
        </is>
      </c>
      <c r="C1204" t="inlineStr">
        <is>
          <t>CSI</t>
        </is>
      </c>
      <c r="D1204" s="6" t="inlineStr">
        <is>
          <t>false</t>
        </is>
      </c>
      <c r="E1204" s="6" t="inlineStr">
        <is>
          <t>false</t>
        </is>
      </c>
      <c r="F1204" s="12" t="inlineStr">
        <is>
          <t>PASS</t>
        </is>
      </c>
      <c r="G1204" t="inlineStr">
        <is>
          <t>SHL_LDM_EntityPropertyExtension.CSI</t>
        </is>
      </c>
      <c r="H1204" s="6" t="n"/>
    </row>
    <row r="1205">
      <c r="A1205" t="inlineStr">
        <is>
          <t>PRODUCT_EMISSION_COMPONENT_HISTORY</t>
        </is>
      </c>
      <c r="B1205" t="inlineStr">
        <is>
          <t>Entity</t>
        </is>
      </c>
      <c r="C1205" t="inlineStr">
        <is>
          <t>CommerciallySensitiveInformation</t>
        </is>
      </c>
      <c r="D1205" s="6" t="inlineStr">
        <is>
          <t>No Commercially Sensitive Information</t>
        </is>
      </c>
      <c r="E1205" s="6" t="inlineStr">
        <is>
          <t>No Commercially Sensitive Information</t>
        </is>
      </c>
      <c r="F1205" s="12" t="inlineStr">
        <is>
          <t>PASS</t>
        </is>
      </c>
      <c r="G1205" t="inlineStr">
        <is>
          <t>BIM-core.CommerciallySensitiveInformation</t>
        </is>
      </c>
      <c r="H1205" s="6" t="n"/>
    </row>
    <row r="1206">
      <c r="A1206" t="inlineStr">
        <is>
          <t>PRODUCT_EMISSION_COMPONENT_HISTORY</t>
        </is>
      </c>
      <c r="B1206" t="inlineStr">
        <is>
          <t>Entity</t>
        </is>
      </c>
      <c r="C1206" t="inlineStr">
        <is>
          <t>Criticality</t>
        </is>
      </c>
      <c r="D1206" s="6" t="inlineStr">
        <is>
          <t>No Critical Data</t>
        </is>
      </c>
      <c r="E1206" s="6" t="inlineStr">
        <is>
          <t>No Critical Data</t>
        </is>
      </c>
      <c r="F1206" s="12" t="inlineStr">
        <is>
          <t>PASS</t>
        </is>
      </c>
      <c r="G1206" t="inlineStr">
        <is>
          <t>BIM-core.Criticality</t>
        </is>
      </c>
      <c r="H1206" s="6" t="n"/>
    </row>
    <row r="1207">
      <c r="A1207" t="inlineStr">
        <is>
          <t>PRODUCT_EMISSION_COMPONENT_HISTORY</t>
        </is>
      </c>
      <c r="B1207" t="inlineStr">
        <is>
          <t>Entity</t>
        </is>
      </c>
      <c r="C1207" t="inlineStr">
        <is>
          <t>DataCategory</t>
        </is>
      </c>
      <c r="D1207" s="6" t="inlineStr">
        <is>
          <t>Structured</t>
        </is>
      </c>
      <c r="E1207" s="6" t="inlineStr">
        <is>
          <t>Structured</t>
        </is>
      </c>
      <c r="F1207" s="12" t="inlineStr">
        <is>
          <t>PASS</t>
        </is>
      </c>
      <c r="G1207" t="inlineStr">
        <is>
          <t>BIM-core.DataCategory</t>
        </is>
      </c>
      <c r="H1207" s="6" t="n"/>
    </row>
    <row r="1208">
      <c r="A1208" t="inlineStr">
        <is>
          <t>PRODUCT_EMISSION_COMPONENT_HISTORY</t>
        </is>
      </c>
      <c r="B1208" t="inlineStr">
        <is>
          <t>Entity</t>
        </is>
      </c>
      <c r="C1208" t="inlineStr">
        <is>
          <t>DataConfidentiality</t>
        </is>
      </c>
      <c r="D1208" s="6" t="inlineStr">
        <is>
          <t>Internal</t>
        </is>
      </c>
      <c r="E1208" s="6" t="inlineStr">
        <is>
          <t>Internal</t>
        </is>
      </c>
      <c r="F1208" s="12" t="inlineStr">
        <is>
          <t>PASS</t>
        </is>
      </c>
      <c r="G1208" t="inlineStr">
        <is>
          <t>BIM-core.DataConfidentiality</t>
        </is>
      </c>
      <c r="H1208" s="6" t="n"/>
    </row>
    <row r="1209">
      <c r="A1209" t="inlineStr">
        <is>
          <t>PRODUCT_EMISSION_COMPONENT_HISTORY</t>
        </is>
      </c>
      <c r="B1209" t="inlineStr">
        <is>
          <t>Entity</t>
        </is>
      </c>
      <c r="C1209" t="inlineStr">
        <is>
          <t>DesignStatus</t>
        </is>
      </c>
      <c r="D1209" s="6" t="inlineStr">
        <is>
          <t>Approved</t>
        </is>
      </c>
      <c r="E1209" s="6" t="inlineStr">
        <is>
          <t>Approved</t>
        </is>
      </c>
      <c r="F1209" s="12" t="inlineStr">
        <is>
          <t>PASS</t>
        </is>
      </c>
      <c r="G1209" t="inlineStr">
        <is>
          <t>BIM-core.DesignStatus</t>
        </is>
      </c>
      <c r="H1209" s="6" t="n"/>
    </row>
    <row r="1210">
      <c r="A1210" t="inlineStr">
        <is>
          <t>PRODUCT_EMISSION_COMPONENT_HISTORY</t>
        </is>
      </c>
      <c r="B1210" t="inlineStr">
        <is>
          <t>Entity</t>
        </is>
      </c>
      <c r="C1210" t="inlineStr">
        <is>
          <t>EntityCategory</t>
        </is>
      </c>
      <c r="D1210" s="6" t="inlineStr">
        <is>
          <t>Master</t>
        </is>
      </c>
      <c r="E1210" s="6" t="inlineStr">
        <is>
          <t>Master</t>
        </is>
      </c>
      <c r="F1210" s="12" t="inlineStr">
        <is>
          <t>PASS</t>
        </is>
      </c>
      <c r="G1210" t="inlineStr">
        <is>
          <t>BIM-core.EntityCategory</t>
        </is>
      </c>
      <c r="H1210" s="6" t="n"/>
    </row>
    <row r="1211">
      <c r="A1211" t="inlineStr">
        <is>
          <t>PRODUCT_EMISSION_COMPONENT_HISTORY</t>
        </is>
      </c>
      <c r="B1211" t="inlineStr">
        <is>
          <t>Entity</t>
        </is>
      </c>
      <c r="C1211" t="inlineStr">
        <is>
          <t>EntityPersonalData</t>
        </is>
      </c>
      <c r="D1211" s="6" t="inlineStr">
        <is>
          <t>No Personal Data</t>
        </is>
      </c>
      <c r="E1211" s="6" t="inlineStr">
        <is>
          <t>No Personal Data</t>
        </is>
      </c>
      <c r="F1211" s="12" t="inlineStr">
        <is>
          <t>PASS</t>
        </is>
      </c>
      <c r="G1211" t="inlineStr">
        <is>
          <t>BIM-core.EntityPersonalData</t>
        </is>
      </c>
      <c r="H1211" s="6" t="n"/>
    </row>
    <row r="1212">
      <c r="A1212" t="inlineStr">
        <is>
          <t>PRODUCT_EMISSION_COMPONENT_HISTORY</t>
        </is>
      </c>
      <c r="B1212" t="inlineStr">
        <is>
          <t>Entity</t>
        </is>
      </c>
      <c r="C1212" t="inlineStr">
        <is>
          <t>FinancialPersonalData</t>
        </is>
      </c>
      <c r="D1212" s="6" t="inlineStr">
        <is>
          <t>No Financial Personal Data</t>
        </is>
      </c>
      <c r="E1212" s="6" t="inlineStr">
        <is>
          <t>No Financial Personal Data</t>
        </is>
      </c>
      <c r="F1212" s="12" t="inlineStr">
        <is>
          <t>PASS</t>
        </is>
      </c>
      <c r="G1212" t="inlineStr">
        <is>
          <t>BIM-core.FinancialPersonalData</t>
        </is>
      </c>
      <c r="H1212" s="6" t="n"/>
    </row>
    <row r="1213">
      <c r="A1213" t="inlineStr">
        <is>
          <t>PRODUCT_EMISSION_COMPONENT_HISTORY</t>
        </is>
      </c>
      <c r="B1213" t="inlineStr">
        <is>
          <t>Entity</t>
        </is>
      </c>
      <c r="C1213" t="inlineStr">
        <is>
          <t>MTED_EDaM_Mapping_Note</t>
        </is>
      </c>
      <c r="D1213" s="6" t="inlineStr">
        <is>
          <t>{\rtf1\ansi\ansicpg1252\deff0\nouicompat\deflang2057{\fonttbl{\f0\fnil\fcharset0 Times New Roman;}}</t>
        </is>
      </c>
      <c r="E1213" s="6" t="inlineStr">
        <is>
          <t>{\rtf1\ansi\ansicpg1252\deff0\nouicompat\deflang2057{\fonttbl{\f0\fnil\fcharset0 Times New Roman;}}</t>
        </is>
      </c>
      <c r="F1213" s="12" t="inlineStr">
        <is>
          <t>PASS</t>
        </is>
      </c>
      <c r="G1213" t="inlineStr">
        <is>
          <t>BIM-core.MTED_EDaM_Mapping_Note</t>
        </is>
      </c>
      <c r="H1213" s="6" t="n"/>
    </row>
    <row r="1214">
      <c r="A1214" t="inlineStr">
        <is>
          <t>PRODUCT_EMISSION_COMPONENT_HISTORY</t>
        </is>
      </c>
      <c r="B1214" t="inlineStr">
        <is>
          <t>Entity</t>
        </is>
      </c>
      <c r="C1214" t="inlineStr">
        <is>
          <t>MTED_Encryption_Required</t>
        </is>
      </c>
      <c r="D1214" s="6" t="inlineStr">
        <is>
          <t>false</t>
        </is>
      </c>
      <c r="E1214" s="6" t="inlineStr">
        <is>
          <t>false</t>
        </is>
      </c>
      <c r="F1214" s="12" t="inlineStr">
        <is>
          <t>PASS</t>
        </is>
      </c>
      <c r="G1214" t="inlineStr">
        <is>
          <t>SHL_LDM_EntityPropertyExtension.MTED_Encryption_Required</t>
        </is>
      </c>
      <c r="H1214" s="6" t="n"/>
    </row>
    <row r="1215">
      <c r="A1215" t="inlineStr">
        <is>
          <t>PRODUCT_EMISSION_COMPONENT_HISTORY</t>
        </is>
      </c>
      <c r="B1215" t="inlineStr">
        <is>
          <t>Entity</t>
        </is>
      </c>
      <c r="C1215" t="inlineStr">
        <is>
          <t>MappingLevel</t>
        </is>
      </c>
      <c r="D1215" s="6" t="inlineStr">
        <is>
          <t>Application Specific</t>
        </is>
      </c>
      <c r="E1215" s="6" t="inlineStr">
        <is>
          <t>Application Specific</t>
        </is>
      </c>
      <c r="F1215" s="12" t="inlineStr">
        <is>
          <t>PASS</t>
        </is>
      </c>
      <c r="G1215" t="inlineStr">
        <is>
          <t>BIM-core.MappingLevel</t>
        </is>
      </c>
      <c r="H1215" s="6" t="n"/>
    </row>
    <row r="1216">
      <c r="A1216" t="inlineStr">
        <is>
          <t>PRODUCT_EMISSION_COMPONENT_HISTORY</t>
        </is>
      </c>
      <c r="B1216" t="inlineStr">
        <is>
          <t>Entity</t>
        </is>
      </c>
      <c r="C1216" t="inlineStr">
        <is>
          <t>PD_ObjectID</t>
        </is>
      </c>
      <c r="D1216" s="6" t="inlineStr">
        <is>
          <t>861A5E9D-80AB-4664-89B1-CEBC92384F54</t>
        </is>
      </c>
      <c r="E1216" s="6" t="inlineStr">
        <is>
          <t>861A5E9D-80AB-4664-89B1-CEBC92384F54</t>
        </is>
      </c>
      <c r="F1216" s="12" t="inlineStr">
        <is>
          <t>PASS</t>
        </is>
      </c>
      <c r="H1216" s="6" t="n"/>
    </row>
    <row r="1217">
      <c r="A1217" t="inlineStr">
        <is>
          <t>PRODUCT_EMISSION_COMPONENT_HISTORY</t>
        </is>
      </c>
      <c r="B1217" t="inlineStr">
        <is>
          <t>Entity</t>
        </is>
      </c>
      <c r="C1217" t="inlineStr">
        <is>
          <t>PD_SourceExtraction</t>
        </is>
      </c>
      <c r="D1217" s="6" t="inlineStr">
        <is>
          <t>46603045</t>
        </is>
      </c>
      <c r="E1217" s="6" t="inlineStr">
        <is>
          <t>46603045</t>
        </is>
      </c>
      <c r="F1217" s="12" t="inlineStr">
        <is>
          <t>PASS</t>
        </is>
      </c>
      <c r="H1217" s="6" t="n"/>
    </row>
    <row r="1218">
      <c r="A1218" t="inlineStr">
        <is>
          <t>PRODUCT_EMISSION_COMPONENT_HISTORY</t>
        </is>
      </c>
      <c r="B1218" t="inlineStr">
        <is>
          <t>Entity</t>
        </is>
      </c>
      <c r="C1218" t="inlineStr">
        <is>
          <t>PD_SourceModel</t>
        </is>
      </c>
      <c r="D1218" s="6" t="inlineStr">
        <is>
          <t>05_Carbon_Calculator</t>
        </is>
      </c>
      <c r="E1218" s="6" t="inlineStr">
        <is>
          <t>05_Carbon_Calculator</t>
        </is>
      </c>
      <c r="F1218" s="12" t="inlineStr">
        <is>
          <t>PASS</t>
        </is>
      </c>
      <c r="H1218" s="6" t="n"/>
    </row>
    <row r="1219">
      <c r="A1219" t="inlineStr">
        <is>
          <t>PRODUCT_EMISSION_COMPONENT_HISTORY</t>
        </is>
      </c>
      <c r="B1219" t="inlineStr">
        <is>
          <t>Entity</t>
        </is>
      </c>
      <c r="C1219" t="inlineStr">
        <is>
          <t>SensitivePersonalData</t>
        </is>
      </c>
      <c r="D1219" s="6" t="inlineStr">
        <is>
          <t>No Sensitive Personal Data</t>
        </is>
      </c>
      <c r="E1219" s="6" t="inlineStr">
        <is>
          <t>No Sensitive Personal Data</t>
        </is>
      </c>
      <c r="F1219" s="12" t="inlineStr">
        <is>
          <t>PASS</t>
        </is>
      </c>
      <c r="G1219" t="inlineStr">
        <is>
          <t>BIM-core.SensitivePersonalData</t>
        </is>
      </c>
      <c r="H1219" s="6" t="n"/>
    </row>
    <row r="1220">
      <c r="A1220" t="inlineStr">
        <is>
          <t>PRODUCT_FAMILY</t>
        </is>
      </c>
      <c r="B1220" t="inlineStr">
        <is>
          <t>Entity</t>
        </is>
      </c>
      <c r="C1220" t="inlineStr">
        <is>
          <t>CommerciallySensitiveInformation</t>
        </is>
      </c>
      <c r="D1220" s="6" t="inlineStr">
        <is>
          <t>No Commercially Sensitive Information</t>
        </is>
      </c>
      <c r="E1220" s="6" t="inlineStr">
        <is>
          <t>No Commercially Sensitive Information</t>
        </is>
      </c>
      <c r="F1220" s="12" t="inlineStr">
        <is>
          <t>PASS</t>
        </is>
      </c>
      <c r="G1220" t="inlineStr">
        <is>
          <t>BIM-core.CommerciallySensitiveInformation</t>
        </is>
      </c>
      <c r="H1220" s="6" t="n"/>
    </row>
    <row r="1221">
      <c r="A1221" t="inlineStr">
        <is>
          <t>PRODUCT_FAMILY</t>
        </is>
      </c>
      <c r="B1221" t="inlineStr">
        <is>
          <t>Entity</t>
        </is>
      </c>
      <c r="C1221" t="inlineStr">
        <is>
          <t>Criticality</t>
        </is>
      </c>
      <c r="D1221" s="6" t="inlineStr">
        <is>
          <t>No Critical Data</t>
        </is>
      </c>
      <c r="E1221" s="6" t="inlineStr">
        <is>
          <t>No Critical Data</t>
        </is>
      </c>
      <c r="F1221" s="12" t="inlineStr">
        <is>
          <t>PASS</t>
        </is>
      </c>
      <c r="G1221" t="inlineStr">
        <is>
          <t>BIM-core.Criticality</t>
        </is>
      </c>
      <c r="H1221" s="6" t="n"/>
    </row>
    <row r="1222">
      <c r="A1222" t="inlineStr">
        <is>
          <t>PRODUCT_FAMILY</t>
        </is>
      </c>
      <c r="B1222" t="inlineStr">
        <is>
          <t>Entity</t>
        </is>
      </c>
      <c r="C1222" t="inlineStr">
        <is>
          <t>DataCategory</t>
        </is>
      </c>
      <c r="D1222" s="6" t="inlineStr">
        <is>
          <t>Structured</t>
        </is>
      </c>
      <c r="E1222" s="6" t="inlineStr">
        <is>
          <t>Structured</t>
        </is>
      </c>
      <c r="F1222" s="12" t="inlineStr">
        <is>
          <t>PASS</t>
        </is>
      </c>
      <c r="G1222" t="inlineStr">
        <is>
          <t>BIM-core.DataCategory</t>
        </is>
      </c>
      <c r="H1222" s="6" t="n"/>
    </row>
    <row r="1223">
      <c r="A1223" t="inlineStr">
        <is>
          <t>PRODUCT_FAMILY</t>
        </is>
      </c>
      <c r="B1223" t="inlineStr">
        <is>
          <t>Entity</t>
        </is>
      </c>
      <c r="C1223" t="inlineStr">
        <is>
          <t>DataConfidentiality</t>
        </is>
      </c>
      <c r="D1223" s="6" t="inlineStr">
        <is>
          <t>Internal</t>
        </is>
      </c>
      <c r="E1223" s="6" t="inlineStr">
        <is>
          <t>Internal</t>
        </is>
      </c>
      <c r="F1223" s="12" t="inlineStr">
        <is>
          <t>PASS</t>
        </is>
      </c>
      <c r="G1223" t="inlineStr">
        <is>
          <t>BIM-core.DataConfidentiality</t>
        </is>
      </c>
      <c r="H1223" s="6" t="n"/>
    </row>
    <row r="1224">
      <c r="A1224" t="inlineStr">
        <is>
          <t>PRODUCT_FAMILY</t>
        </is>
      </c>
      <c r="B1224" t="inlineStr">
        <is>
          <t>Entity</t>
        </is>
      </c>
      <c r="C1224" t="inlineStr">
        <is>
          <t>DesignStatus</t>
        </is>
      </c>
      <c r="D1224" s="6" t="inlineStr">
        <is>
          <t>Approved</t>
        </is>
      </c>
      <c r="E1224" s="6" t="inlineStr">
        <is>
          <t>Approved</t>
        </is>
      </c>
      <c r="F1224" s="12" t="inlineStr">
        <is>
          <t>PASS</t>
        </is>
      </c>
      <c r="G1224" t="inlineStr">
        <is>
          <t>BIM-core.DesignStatus</t>
        </is>
      </c>
      <c r="H1224" s="6" t="n"/>
    </row>
    <row r="1225">
      <c r="A1225" t="inlineStr">
        <is>
          <t>PRODUCT_FAMILY</t>
        </is>
      </c>
      <c r="B1225" t="inlineStr">
        <is>
          <t>Entity</t>
        </is>
      </c>
      <c r="C1225" t="inlineStr">
        <is>
          <t>EntityCategory</t>
        </is>
      </c>
      <c r="D1225" s="6" t="inlineStr">
        <is>
          <t>Master</t>
        </is>
      </c>
      <c r="E1225" s="6" t="inlineStr">
        <is>
          <t>Master</t>
        </is>
      </c>
      <c r="F1225" s="12" t="inlineStr">
        <is>
          <t>PASS</t>
        </is>
      </c>
      <c r="G1225" t="inlineStr">
        <is>
          <t>BIM-core.EntityCategory</t>
        </is>
      </c>
      <c r="H1225" s="6" t="n"/>
    </row>
    <row r="1226">
      <c r="A1226" t="inlineStr">
        <is>
          <t>PRODUCT_FAMILY</t>
        </is>
      </c>
      <c r="B1226" t="inlineStr">
        <is>
          <t>Entity</t>
        </is>
      </c>
      <c r="C1226" t="inlineStr">
        <is>
          <t>EntityPersonalData</t>
        </is>
      </c>
      <c r="D1226" s="6" t="inlineStr">
        <is>
          <t>No Personal Data</t>
        </is>
      </c>
      <c r="E1226" s="6" t="inlineStr">
        <is>
          <t>No Personal Data</t>
        </is>
      </c>
      <c r="F1226" s="12" t="inlineStr">
        <is>
          <t>PASS</t>
        </is>
      </c>
      <c r="G1226" t="inlineStr">
        <is>
          <t>BIM-core.EntityPersonalData</t>
        </is>
      </c>
      <c r="H1226" s="6" t="n"/>
    </row>
    <row r="1227">
      <c r="A1227" t="inlineStr">
        <is>
          <t>PRODUCT_FAMILY</t>
        </is>
      </c>
      <c r="B1227" t="inlineStr">
        <is>
          <t>Entity</t>
        </is>
      </c>
      <c r="C1227" t="inlineStr">
        <is>
          <t>FinancialPersonalData</t>
        </is>
      </c>
      <c r="D1227" s="6" t="inlineStr">
        <is>
          <t>No Financial Personal Data</t>
        </is>
      </c>
      <c r="E1227" s="6" t="inlineStr">
        <is>
          <t>No Financial Personal Data</t>
        </is>
      </c>
      <c r="F1227" s="12" t="inlineStr">
        <is>
          <t>PASS</t>
        </is>
      </c>
      <c r="G1227" t="inlineStr">
        <is>
          <t>BIM-core.FinancialPersonalData</t>
        </is>
      </c>
      <c r="H1227" s="6" t="n"/>
    </row>
    <row r="1228">
      <c r="A1228" t="inlineStr">
        <is>
          <t>PRODUCT_FAMILY</t>
        </is>
      </c>
      <c r="B1228" t="inlineStr">
        <is>
          <t>Entity</t>
        </is>
      </c>
      <c r="C1228" t="inlineStr">
        <is>
          <t>MTED_EDaM_Mapping_Note</t>
        </is>
      </c>
      <c r="D1228" s="6" t="inlineStr">
        <is>
          <t>{\rtf1\ansi\ansicpg1252\deff0\nouicompat\deflang2057{\fonttbl{\f0\fnil\fcharset0 Times New Roman;}}</t>
        </is>
      </c>
      <c r="E1228" s="6" t="inlineStr">
        <is>
          <t>{\rtf1\ansi\ansicpg1252\deff0\nouicompat\deflang2057{\fonttbl{\f0\fnil\fcharset0 Times New Roman;}}</t>
        </is>
      </c>
      <c r="F1228" s="12" t="inlineStr">
        <is>
          <t>PASS</t>
        </is>
      </c>
      <c r="G1228" t="inlineStr">
        <is>
          <t>BIM-core.MTED_EDaM_Mapping_Note</t>
        </is>
      </c>
      <c r="H1228" s="6" t="n"/>
    </row>
    <row r="1229">
      <c r="A1229" t="inlineStr">
        <is>
          <t>PRODUCT_FAMILY</t>
        </is>
      </c>
      <c r="B1229" t="inlineStr">
        <is>
          <t>Entity</t>
        </is>
      </c>
      <c r="C1229" t="inlineStr">
        <is>
          <t>MappingLevel</t>
        </is>
      </c>
      <c r="D1229" s="6" t="inlineStr">
        <is>
          <t>Application Specific</t>
        </is>
      </c>
      <c r="E1229" s="6" t="inlineStr">
        <is>
          <t>Application Specific</t>
        </is>
      </c>
      <c r="F1229" s="12" t="inlineStr">
        <is>
          <t>PASS</t>
        </is>
      </c>
      <c r="G1229" t="inlineStr">
        <is>
          <t>BIM-core.MappingLevel</t>
        </is>
      </c>
      <c r="H1229" s="6" t="n"/>
    </row>
    <row r="1230">
      <c r="A1230" t="inlineStr">
        <is>
          <t>PRODUCT_FAMILY</t>
        </is>
      </c>
      <c r="B1230" t="inlineStr">
        <is>
          <t>Entity</t>
        </is>
      </c>
      <c r="C1230" t="inlineStr">
        <is>
          <t>PD_ObjectID</t>
        </is>
      </c>
      <c r="D1230" s="6" t="inlineStr">
        <is>
          <t>ABC70A6C-C7B3-45AD-8D10-DC78D9FBE2F5</t>
        </is>
      </c>
      <c r="E1230" s="6" t="inlineStr">
        <is>
          <t>ABC70A6C-C7B3-45AD-8D10-DC78D9FBE2F5</t>
        </is>
      </c>
      <c r="F1230" s="12" t="inlineStr">
        <is>
          <t>PASS</t>
        </is>
      </c>
      <c r="H1230" s="6" t="n"/>
    </row>
    <row r="1231">
      <c r="A1231" t="inlineStr">
        <is>
          <t>PRODUCT_FAMILY</t>
        </is>
      </c>
      <c r="B1231" t="inlineStr">
        <is>
          <t>Entity</t>
        </is>
      </c>
      <c r="C1231" t="inlineStr">
        <is>
          <t>PD_SourceExtraction</t>
        </is>
      </c>
      <c r="D1231" s="6" t="inlineStr">
        <is>
          <t>46603045</t>
        </is>
      </c>
      <c r="E1231" s="6" t="inlineStr">
        <is>
          <t>46603045</t>
        </is>
      </c>
      <c r="F1231" s="12" t="inlineStr">
        <is>
          <t>PASS</t>
        </is>
      </c>
      <c r="H1231" s="6" t="n"/>
    </row>
    <row r="1232">
      <c r="A1232" t="inlineStr">
        <is>
          <t>PRODUCT_FAMILY</t>
        </is>
      </c>
      <c r="B1232" t="inlineStr">
        <is>
          <t>Entity</t>
        </is>
      </c>
      <c r="C1232" t="inlineStr">
        <is>
          <t>PD_SourceModel</t>
        </is>
      </c>
      <c r="D1232" s="6" t="inlineStr">
        <is>
          <t>05_Carbon_Calculator</t>
        </is>
      </c>
      <c r="E1232" s="6" t="inlineStr">
        <is>
          <t>05_Carbon_Calculator</t>
        </is>
      </c>
      <c r="F1232" s="12" t="inlineStr">
        <is>
          <t>PASS</t>
        </is>
      </c>
      <c r="H1232" s="6" t="n"/>
    </row>
    <row r="1233">
      <c r="A1233" t="inlineStr">
        <is>
          <t>PRODUCT_FAMILY</t>
        </is>
      </c>
      <c r="B1233" t="inlineStr">
        <is>
          <t>Entity</t>
        </is>
      </c>
      <c r="C1233" t="inlineStr">
        <is>
          <t>SensitivePersonalData</t>
        </is>
      </c>
      <c r="D1233" s="6" t="inlineStr">
        <is>
          <t>No Sensitive Personal Data</t>
        </is>
      </c>
      <c r="E1233" s="6" t="inlineStr">
        <is>
          <t>No Sensitive Personal Data</t>
        </is>
      </c>
      <c r="F1233" s="12" t="inlineStr">
        <is>
          <t>PASS</t>
        </is>
      </c>
      <c r="G1233" t="inlineStr">
        <is>
          <t>BIM-core.SensitivePersonalData</t>
        </is>
      </c>
      <c r="H1233" s="6" t="n"/>
    </row>
    <row r="1234">
      <c r="A1234" t="inlineStr">
        <is>
          <t>PRODUCT_FAMILY_INTENDED_USE</t>
        </is>
      </c>
      <c r="B1234" t="inlineStr">
        <is>
          <t>Entity</t>
        </is>
      </c>
      <c r="C1234" t="inlineStr">
        <is>
          <t>CommerciallySensitiveInformation</t>
        </is>
      </c>
      <c r="D1234" s="6" t="inlineStr">
        <is>
          <t>No Commercially Sensitive Information</t>
        </is>
      </c>
      <c r="E1234" s="6" t="inlineStr">
        <is>
          <t>No Commercially Sensitive Information</t>
        </is>
      </c>
      <c r="F1234" s="12" t="inlineStr">
        <is>
          <t>PASS</t>
        </is>
      </c>
      <c r="G1234" t="inlineStr">
        <is>
          <t>BIM-core.CommerciallySensitiveInformation</t>
        </is>
      </c>
      <c r="H1234" s="6" t="n"/>
    </row>
    <row r="1235">
      <c r="A1235" t="inlineStr">
        <is>
          <t>PRODUCT_FAMILY_INTENDED_USE</t>
        </is>
      </c>
      <c r="B1235" t="inlineStr">
        <is>
          <t>Entity</t>
        </is>
      </c>
      <c r="C1235" t="inlineStr">
        <is>
          <t>Criticality</t>
        </is>
      </c>
      <c r="D1235" s="6" t="inlineStr">
        <is>
          <t>No Critical Data</t>
        </is>
      </c>
      <c r="E1235" s="6" t="inlineStr">
        <is>
          <t>No Critical Data</t>
        </is>
      </c>
      <c r="F1235" s="12" t="inlineStr">
        <is>
          <t>PASS</t>
        </is>
      </c>
      <c r="G1235" t="inlineStr">
        <is>
          <t>BIM-core.Criticality</t>
        </is>
      </c>
      <c r="H1235" s="6" t="n"/>
    </row>
    <row r="1236">
      <c r="A1236" t="inlineStr">
        <is>
          <t>PRODUCT_FAMILY_INTENDED_USE</t>
        </is>
      </c>
      <c r="B1236" t="inlineStr">
        <is>
          <t>Entity</t>
        </is>
      </c>
      <c r="C1236" t="inlineStr">
        <is>
          <t>DataCategory</t>
        </is>
      </c>
      <c r="D1236" s="6" t="inlineStr">
        <is>
          <t>Structured</t>
        </is>
      </c>
      <c r="E1236" s="6" t="inlineStr">
        <is>
          <t>Structured</t>
        </is>
      </c>
      <c r="F1236" s="12" t="inlineStr">
        <is>
          <t>PASS</t>
        </is>
      </c>
      <c r="G1236" t="inlineStr">
        <is>
          <t>BIM-core.DataCategory</t>
        </is>
      </c>
      <c r="H1236" s="6" t="n"/>
    </row>
    <row r="1237">
      <c r="A1237" t="inlineStr">
        <is>
          <t>PRODUCT_FAMILY_INTENDED_USE</t>
        </is>
      </c>
      <c r="B1237" t="inlineStr">
        <is>
          <t>Entity</t>
        </is>
      </c>
      <c r="C1237" t="inlineStr">
        <is>
          <t>DataConfidentiality</t>
        </is>
      </c>
      <c r="D1237" s="6" t="inlineStr">
        <is>
          <t>Internal</t>
        </is>
      </c>
      <c r="E1237" s="6" t="inlineStr">
        <is>
          <t>Internal</t>
        </is>
      </c>
      <c r="F1237" s="12" t="inlineStr">
        <is>
          <t>PASS</t>
        </is>
      </c>
      <c r="G1237" t="inlineStr">
        <is>
          <t>BIM-core.DataConfidentiality</t>
        </is>
      </c>
      <c r="H1237" s="6" t="n"/>
    </row>
    <row r="1238">
      <c r="A1238" t="inlineStr">
        <is>
          <t>PRODUCT_FAMILY_INTENDED_USE</t>
        </is>
      </c>
      <c r="B1238" t="inlineStr">
        <is>
          <t>Entity</t>
        </is>
      </c>
      <c r="C1238" t="inlineStr">
        <is>
          <t>DesignStatus</t>
        </is>
      </c>
      <c r="D1238" s="6" t="inlineStr">
        <is>
          <t>Approved</t>
        </is>
      </c>
      <c r="E1238" s="6" t="inlineStr">
        <is>
          <t>Approved</t>
        </is>
      </c>
      <c r="F1238" s="12" t="inlineStr">
        <is>
          <t>PASS</t>
        </is>
      </c>
      <c r="G1238" t="inlineStr">
        <is>
          <t>BIM-core.DesignStatus</t>
        </is>
      </c>
      <c r="H1238" s="6" t="n"/>
    </row>
    <row r="1239">
      <c r="A1239" t="inlineStr">
        <is>
          <t>PRODUCT_FAMILY_INTENDED_USE</t>
        </is>
      </c>
      <c r="B1239" t="inlineStr">
        <is>
          <t>Entity</t>
        </is>
      </c>
      <c r="C1239" t="inlineStr">
        <is>
          <t>EntityCategory</t>
        </is>
      </c>
      <c r="D1239" s="6" t="inlineStr">
        <is>
          <t>Master</t>
        </is>
      </c>
      <c r="E1239" s="6" t="inlineStr">
        <is>
          <t>Master</t>
        </is>
      </c>
      <c r="F1239" s="12" t="inlineStr">
        <is>
          <t>PASS</t>
        </is>
      </c>
      <c r="G1239" t="inlineStr">
        <is>
          <t>BIM-core.EntityCategory</t>
        </is>
      </c>
      <c r="H1239" s="6" t="n"/>
    </row>
    <row r="1240">
      <c r="A1240" t="inlineStr">
        <is>
          <t>PRODUCT_FAMILY_INTENDED_USE</t>
        </is>
      </c>
      <c r="B1240" t="inlineStr">
        <is>
          <t>Entity</t>
        </is>
      </c>
      <c r="C1240" t="inlineStr">
        <is>
          <t>EntityPersonalData</t>
        </is>
      </c>
      <c r="D1240" s="6" t="inlineStr">
        <is>
          <t>No Personal Data</t>
        </is>
      </c>
      <c r="E1240" s="6" t="inlineStr">
        <is>
          <t>No Personal Data</t>
        </is>
      </c>
      <c r="F1240" s="12" t="inlineStr">
        <is>
          <t>PASS</t>
        </is>
      </c>
      <c r="G1240" t="inlineStr">
        <is>
          <t>BIM-core.EntityPersonalData</t>
        </is>
      </c>
      <c r="H1240" s="6" t="n"/>
    </row>
    <row r="1241">
      <c r="A1241" t="inlineStr">
        <is>
          <t>PRODUCT_FAMILY_INTENDED_USE</t>
        </is>
      </c>
      <c r="B1241" t="inlineStr">
        <is>
          <t>Entity</t>
        </is>
      </c>
      <c r="C1241" t="inlineStr">
        <is>
          <t>FinancialPersonalData</t>
        </is>
      </c>
      <c r="D1241" s="6" t="inlineStr">
        <is>
          <t>No Financial Personal Data</t>
        </is>
      </c>
      <c r="E1241" s="6" t="inlineStr">
        <is>
          <t>No Financial Personal Data</t>
        </is>
      </c>
      <c r="F1241" s="12" t="inlineStr">
        <is>
          <t>PASS</t>
        </is>
      </c>
      <c r="G1241" t="inlineStr">
        <is>
          <t>BIM-core.FinancialPersonalData</t>
        </is>
      </c>
      <c r="H1241" s="6" t="n"/>
    </row>
    <row r="1242">
      <c r="A1242" t="inlineStr">
        <is>
          <t>PRODUCT_FAMILY_INTENDED_USE</t>
        </is>
      </c>
      <c r="B1242" t="inlineStr">
        <is>
          <t>Entity</t>
        </is>
      </c>
      <c r="C1242" t="inlineStr">
        <is>
          <t>MTED_EDaM_Mapping_Note</t>
        </is>
      </c>
      <c r="D1242" s="6" t="inlineStr">
        <is>
          <t>{\rtf1\ansi\ansicpg1252\deff0\nouicompat\deflang2057{\fonttbl{\f0\fnil\fcharset0 Times New Roman;}}</t>
        </is>
      </c>
      <c r="E1242" s="6" t="inlineStr">
        <is>
          <t>{\rtf1\ansi\ansicpg1252\deff0\nouicompat\deflang2057{\fonttbl{\f0\fnil\fcharset0 Times New Roman;}}</t>
        </is>
      </c>
      <c r="F1242" s="12" t="inlineStr">
        <is>
          <t>PASS</t>
        </is>
      </c>
      <c r="G1242" t="inlineStr">
        <is>
          <t>BIM-core.MTED_EDaM_Mapping_Note</t>
        </is>
      </c>
      <c r="H1242" s="6" t="n"/>
    </row>
    <row r="1243">
      <c r="A1243" t="inlineStr">
        <is>
          <t>PRODUCT_FAMILY_INTENDED_USE</t>
        </is>
      </c>
      <c r="B1243" t="inlineStr">
        <is>
          <t>Entity</t>
        </is>
      </c>
      <c r="C1243" t="inlineStr">
        <is>
          <t>MappingLevel</t>
        </is>
      </c>
      <c r="D1243" s="6" t="inlineStr">
        <is>
          <t>Application Specific</t>
        </is>
      </c>
      <c r="E1243" s="6" t="inlineStr">
        <is>
          <t>Application Specific</t>
        </is>
      </c>
      <c r="F1243" s="12" t="inlineStr">
        <is>
          <t>PASS</t>
        </is>
      </c>
      <c r="G1243" t="inlineStr">
        <is>
          <t>BIM-core.MappingLevel</t>
        </is>
      </c>
      <c r="H1243" s="6" t="n"/>
    </row>
    <row r="1244">
      <c r="A1244" t="inlineStr">
        <is>
          <t>PRODUCT_FAMILY_INTENDED_USE</t>
        </is>
      </c>
      <c r="B1244" t="inlineStr">
        <is>
          <t>Entity</t>
        </is>
      </c>
      <c r="C1244" t="inlineStr">
        <is>
          <t>PD_ObjectID</t>
        </is>
      </c>
      <c r="D1244" s="6" t="inlineStr">
        <is>
          <t>D69DD4E8-14A9-4226-B003-6F01B0C46645</t>
        </is>
      </c>
      <c r="E1244" s="6" t="inlineStr">
        <is>
          <t>D69DD4E8-14A9-4226-B003-6F01B0C46645</t>
        </is>
      </c>
      <c r="F1244" s="12" t="inlineStr">
        <is>
          <t>PASS</t>
        </is>
      </c>
      <c r="H1244" s="6" t="n"/>
    </row>
    <row r="1245">
      <c r="A1245" t="inlineStr">
        <is>
          <t>PRODUCT_FAMILY_INTENDED_USE</t>
        </is>
      </c>
      <c r="B1245" t="inlineStr">
        <is>
          <t>Entity</t>
        </is>
      </c>
      <c r="C1245" t="inlineStr">
        <is>
          <t>PD_SourceExtraction</t>
        </is>
      </c>
      <c r="D1245" s="6" t="inlineStr">
        <is>
          <t>46603045</t>
        </is>
      </c>
      <c r="E1245" s="6" t="inlineStr">
        <is>
          <t>46603045</t>
        </is>
      </c>
      <c r="F1245" s="12" t="inlineStr">
        <is>
          <t>PASS</t>
        </is>
      </c>
      <c r="H1245" s="6" t="n"/>
    </row>
    <row r="1246">
      <c r="A1246" t="inlineStr">
        <is>
          <t>PRODUCT_FAMILY_INTENDED_USE</t>
        </is>
      </c>
      <c r="B1246" t="inlineStr">
        <is>
          <t>Entity</t>
        </is>
      </c>
      <c r="C1246" t="inlineStr">
        <is>
          <t>PD_SourceModel</t>
        </is>
      </c>
      <c r="D1246" s="6" t="inlineStr">
        <is>
          <t>05_Carbon_Calculator</t>
        </is>
      </c>
      <c r="E1246" s="6" t="inlineStr">
        <is>
          <t>05_Carbon_Calculator</t>
        </is>
      </c>
      <c r="F1246" s="12" t="inlineStr">
        <is>
          <t>PASS</t>
        </is>
      </c>
      <c r="H1246" s="6" t="n"/>
    </row>
    <row r="1247">
      <c r="A1247" t="inlineStr">
        <is>
          <t>PRODUCT_FAMILY_INTENDED_USE</t>
        </is>
      </c>
      <c r="B1247" t="inlineStr">
        <is>
          <t>Entity</t>
        </is>
      </c>
      <c r="C1247" t="inlineStr">
        <is>
          <t>SensitivePersonalData</t>
        </is>
      </c>
      <c r="D1247" s="6" t="inlineStr">
        <is>
          <t>No Sensitive Personal Data</t>
        </is>
      </c>
      <c r="E1247" s="6" t="inlineStr">
        <is>
          <t>No Sensitive Personal Data</t>
        </is>
      </c>
      <c r="F1247" s="12" t="inlineStr">
        <is>
          <t>PASS</t>
        </is>
      </c>
      <c r="G1247" t="inlineStr">
        <is>
          <t>BIM-core.SensitivePersonalData</t>
        </is>
      </c>
      <c r="H1247" s="6" t="n"/>
    </row>
    <row r="1248">
      <c r="A1248" t="inlineStr">
        <is>
          <t>PRODUCT_PROPERTY_VALUE</t>
        </is>
      </c>
      <c r="B1248" t="inlineStr">
        <is>
          <t>Entity</t>
        </is>
      </c>
      <c r="C1248" t="inlineStr">
        <is>
          <t>CSI</t>
        </is>
      </c>
      <c r="D1248" s="6" t="inlineStr">
        <is>
          <t>false</t>
        </is>
      </c>
      <c r="E1248" s="6" t="inlineStr">
        <is>
          <t>false</t>
        </is>
      </c>
      <c r="F1248" s="12" t="inlineStr">
        <is>
          <t>PASS</t>
        </is>
      </c>
      <c r="G1248" t="inlineStr">
        <is>
          <t>SHL_LDM_EntityPropertyExtension.CSI</t>
        </is>
      </c>
      <c r="H1248" s="6" t="n"/>
    </row>
    <row r="1249">
      <c r="A1249" t="inlineStr">
        <is>
          <t>PRODUCT_PROPERTY_VALUE</t>
        </is>
      </c>
      <c r="B1249" t="inlineStr">
        <is>
          <t>Entity</t>
        </is>
      </c>
      <c r="C1249" t="inlineStr">
        <is>
          <t>CommerciallySensitiveInformation</t>
        </is>
      </c>
      <c r="D1249" s="6" t="inlineStr">
        <is>
          <t>No Commercially Sensitive Information</t>
        </is>
      </c>
      <c r="E1249" s="6" t="inlineStr">
        <is>
          <t>No Commercially Sensitive Information</t>
        </is>
      </c>
      <c r="F1249" s="12" t="inlineStr">
        <is>
          <t>PASS</t>
        </is>
      </c>
      <c r="G1249" t="inlineStr">
        <is>
          <t>BIM-core.CommerciallySensitiveInformation</t>
        </is>
      </c>
      <c r="H1249" s="6" t="n"/>
    </row>
    <row r="1250">
      <c r="A1250" t="inlineStr">
        <is>
          <t>PRODUCT_PROPERTY_VALUE</t>
        </is>
      </c>
      <c r="B1250" t="inlineStr">
        <is>
          <t>Entity</t>
        </is>
      </c>
      <c r="C1250" t="inlineStr">
        <is>
          <t>Criticality</t>
        </is>
      </c>
      <c r="D1250" s="6" t="inlineStr">
        <is>
          <t>No Critical Data</t>
        </is>
      </c>
      <c r="E1250" s="6" t="inlineStr">
        <is>
          <t>No Critical Data</t>
        </is>
      </c>
      <c r="F1250" s="12" t="inlineStr">
        <is>
          <t>PASS</t>
        </is>
      </c>
      <c r="G1250" t="inlineStr">
        <is>
          <t>BIM-core.Criticality</t>
        </is>
      </c>
      <c r="H1250" s="6" t="n"/>
    </row>
    <row r="1251">
      <c r="A1251" t="inlineStr">
        <is>
          <t>PRODUCT_PROPERTY_VALUE</t>
        </is>
      </c>
      <c r="B1251" t="inlineStr">
        <is>
          <t>Entity</t>
        </is>
      </c>
      <c r="C1251" t="inlineStr">
        <is>
          <t>DataCategory</t>
        </is>
      </c>
      <c r="D1251" s="6" t="inlineStr">
        <is>
          <t>Structured</t>
        </is>
      </c>
      <c r="E1251" s="6" t="inlineStr">
        <is>
          <t>Structured</t>
        </is>
      </c>
      <c r="F1251" s="12" t="inlineStr">
        <is>
          <t>PASS</t>
        </is>
      </c>
      <c r="G1251" t="inlineStr">
        <is>
          <t>BIM-core.DataCategory</t>
        </is>
      </c>
      <c r="H1251" s="6" t="n"/>
    </row>
    <row r="1252">
      <c r="A1252" t="inlineStr">
        <is>
          <t>PRODUCT_PROPERTY_VALUE</t>
        </is>
      </c>
      <c r="B1252" t="inlineStr">
        <is>
          <t>Entity</t>
        </is>
      </c>
      <c r="C1252" t="inlineStr">
        <is>
          <t>DataConfidentiality</t>
        </is>
      </c>
      <c r="D1252" s="6" t="inlineStr">
        <is>
          <t>Internal</t>
        </is>
      </c>
      <c r="E1252" s="6" t="inlineStr">
        <is>
          <t>Internal</t>
        </is>
      </c>
      <c r="F1252" s="12" t="inlineStr">
        <is>
          <t>PASS</t>
        </is>
      </c>
      <c r="G1252" t="inlineStr">
        <is>
          <t>BIM-core.DataConfidentiality</t>
        </is>
      </c>
      <c r="H1252" s="6" t="n"/>
    </row>
    <row r="1253">
      <c r="A1253" t="inlineStr">
        <is>
          <t>PRODUCT_PROPERTY_VALUE</t>
        </is>
      </c>
      <c r="B1253" t="inlineStr">
        <is>
          <t>Entity</t>
        </is>
      </c>
      <c r="C1253" t="inlineStr">
        <is>
          <t>DesignStatus</t>
        </is>
      </c>
      <c r="D1253" s="6" t="inlineStr">
        <is>
          <t>Approved</t>
        </is>
      </c>
      <c r="E1253" s="6" t="inlineStr">
        <is>
          <t>Approved</t>
        </is>
      </c>
      <c r="F1253" s="12" t="inlineStr">
        <is>
          <t>PASS</t>
        </is>
      </c>
      <c r="G1253" t="inlineStr">
        <is>
          <t>BIM-core.DesignStatus</t>
        </is>
      </c>
      <c r="H1253" s="6" t="n"/>
    </row>
    <row r="1254">
      <c r="A1254" t="inlineStr">
        <is>
          <t>PRODUCT_PROPERTY_VALUE</t>
        </is>
      </c>
      <c r="B1254" t="inlineStr">
        <is>
          <t>Entity</t>
        </is>
      </c>
      <c r="C1254" t="inlineStr">
        <is>
          <t>EntityCategory</t>
        </is>
      </c>
      <c r="D1254" s="6" t="inlineStr">
        <is>
          <t>Internal Reference</t>
        </is>
      </c>
      <c r="E1254" s="6" t="inlineStr">
        <is>
          <t>Internal Reference</t>
        </is>
      </c>
      <c r="F1254" s="12" t="inlineStr">
        <is>
          <t>PASS</t>
        </is>
      </c>
      <c r="G1254" t="inlineStr">
        <is>
          <t>BIM-core.EntityCategory</t>
        </is>
      </c>
      <c r="H1254" s="6" t="n"/>
    </row>
    <row r="1255">
      <c r="A1255" t="inlineStr">
        <is>
          <t>PRODUCT_PROPERTY_VALUE</t>
        </is>
      </c>
      <c r="B1255" t="inlineStr">
        <is>
          <t>Entity</t>
        </is>
      </c>
      <c r="C1255" t="inlineStr">
        <is>
          <t>EntityPersonalData</t>
        </is>
      </c>
      <c r="D1255" s="6" t="inlineStr">
        <is>
          <t>No Personal Data</t>
        </is>
      </c>
      <c r="E1255" s="6" t="inlineStr">
        <is>
          <t>No Personal Data</t>
        </is>
      </c>
      <c r="F1255" s="12" t="inlineStr">
        <is>
          <t>PASS</t>
        </is>
      </c>
      <c r="G1255" t="inlineStr">
        <is>
          <t>BIM-core.EntityPersonalData</t>
        </is>
      </c>
      <c r="H1255" s="6" t="n"/>
    </row>
    <row r="1256">
      <c r="A1256" t="inlineStr">
        <is>
          <t>PRODUCT_PROPERTY_VALUE</t>
        </is>
      </c>
      <c r="B1256" t="inlineStr">
        <is>
          <t>Entity</t>
        </is>
      </c>
      <c r="C1256" t="inlineStr">
        <is>
          <t>FinancialPersonalData</t>
        </is>
      </c>
      <c r="D1256" s="6" t="inlineStr">
        <is>
          <t>No Financial Personal Data</t>
        </is>
      </c>
      <c r="E1256" s="6" t="inlineStr">
        <is>
          <t>No Financial Personal Data</t>
        </is>
      </c>
      <c r="F1256" s="12" t="inlineStr">
        <is>
          <t>PASS</t>
        </is>
      </c>
      <c r="G1256" t="inlineStr">
        <is>
          <t>BIM-core.FinancialPersonalData</t>
        </is>
      </c>
      <c r="H1256" s="6" t="n"/>
    </row>
    <row r="1257">
      <c r="A1257" t="inlineStr">
        <is>
          <t>PRODUCT_PROPERTY_VALUE</t>
        </is>
      </c>
      <c r="B1257" t="inlineStr">
        <is>
          <t>Entity</t>
        </is>
      </c>
      <c r="C1257" t="inlineStr">
        <is>
          <t>MTED_Encryption_Required</t>
        </is>
      </c>
      <c r="D1257" s="6" t="inlineStr">
        <is>
          <t>false</t>
        </is>
      </c>
      <c r="E1257" s="6" t="inlineStr">
        <is>
          <t>false</t>
        </is>
      </c>
      <c r="F1257" s="12" t="inlineStr">
        <is>
          <t>PASS</t>
        </is>
      </c>
      <c r="G1257" t="inlineStr">
        <is>
          <t>SHL_LDM_EntityPropertyExtension.MTED_Encryption_Required</t>
        </is>
      </c>
      <c r="H1257" s="6" t="n"/>
    </row>
    <row r="1258">
      <c r="A1258" t="inlineStr">
        <is>
          <t>PRODUCT_PROPERTY_VALUE</t>
        </is>
      </c>
      <c r="B1258" t="inlineStr">
        <is>
          <t>Entity</t>
        </is>
      </c>
      <c r="C1258" t="inlineStr">
        <is>
          <t>MappingLevel</t>
        </is>
      </c>
      <c r="D1258" s="6" t="inlineStr">
        <is>
          <t>BLM</t>
        </is>
      </c>
      <c r="E1258" s="6" t="inlineStr">
        <is>
          <t>BLM</t>
        </is>
      </c>
      <c r="F1258" s="12" t="inlineStr">
        <is>
          <t>PASS</t>
        </is>
      </c>
      <c r="G1258" t="inlineStr">
        <is>
          <t>BIM-core.MappingLevel</t>
        </is>
      </c>
      <c r="H1258" s="6" t="n"/>
    </row>
    <row r="1259">
      <c r="A1259" t="inlineStr">
        <is>
          <t>PRODUCT_PROPERTY_VALUE</t>
        </is>
      </c>
      <c r="B1259" t="inlineStr">
        <is>
          <t>Entity</t>
        </is>
      </c>
      <c r="C1259" t="inlineStr">
        <is>
          <t>MapsToEntity</t>
        </is>
      </c>
      <c r="D1259" s="6" t="inlineStr">
        <is>
          <t>FUEL_PRODUCT_PROPERTY</t>
        </is>
      </c>
      <c r="E1259" s="6" t="inlineStr">
        <is>
          <t>FUEL_PRODUCT_PROPERTY</t>
        </is>
      </c>
      <c r="F1259" s="12" t="inlineStr">
        <is>
          <t>PASS</t>
        </is>
      </c>
      <c r="G1259" t="inlineStr">
        <is>
          <t>BIM-core.MapsToEntity</t>
        </is>
      </c>
      <c r="H1259" s="6" t="n"/>
    </row>
    <row r="1260">
      <c r="A1260" t="inlineStr">
        <is>
          <t>PRODUCT_PROPERTY_VALUE</t>
        </is>
      </c>
      <c r="B1260" t="inlineStr">
        <is>
          <t>Entity</t>
        </is>
      </c>
      <c r="C1260" t="inlineStr">
        <is>
          <t>PD_ObjectID</t>
        </is>
      </c>
      <c r="D1260" s="6" t="inlineStr">
        <is>
          <t>F83D8787-DB26-475D-9ED2-CDC0784FB2EB</t>
        </is>
      </c>
      <c r="E1260" s="6" t="inlineStr">
        <is>
          <t>F83D8787-DB26-475D-9ED2-CDC0784FB2EB</t>
        </is>
      </c>
      <c r="F1260" s="12" t="inlineStr">
        <is>
          <t>PASS</t>
        </is>
      </c>
      <c r="H1260" s="6" t="n"/>
    </row>
    <row r="1261">
      <c r="A1261" t="inlineStr">
        <is>
          <t>PRODUCT_PROPERTY_VALUE</t>
        </is>
      </c>
      <c r="B1261" t="inlineStr">
        <is>
          <t>Entity</t>
        </is>
      </c>
      <c r="C1261" t="inlineStr">
        <is>
          <t>PD_SourceExtraction</t>
        </is>
      </c>
      <c r="D1261" s="6" t="inlineStr">
        <is>
          <t>46603045</t>
        </is>
      </c>
      <c r="E1261" s="6" t="inlineStr">
        <is>
          <t>46603045</t>
        </is>
      </c>
      <c r="F1261" s="12" t="inlineStr">
        <is>
          <t>PASS</t>
        </is>
      </c>
      <c r="H1261" s="6" t="n"/>
    </row>
    <row r="1262">
      <c r="A1262" t="inlineStr">
        <is>
          <t>PRODUCT_PROPERTY_VALUE</t>
        </is>
      </c>
      <c r="B1262" t="inlineStr">
        <is>
          <t>Entity</t>
        </is>
      </c>
      <c r="C1262" t="inlineStr">
        <is>
          <t>PD_SourceModel</t>
        </is>
      </c>
      <c r="D1262" s="6" t="inlineStr">
        <is>
          <t>05_Carbon_Calculator</t>
        </is>
      </c>
      <c r="E1262" s="6" t="inlineStr">
        <is>
          <t>05_Carbon_Calculator</t>
        </is>
      </c>
      <c r="F1262" s="12" t="inlineStr">
        <is>
          <t>PASS</t>
        </is>
      </c>
      <c r="H1262" s="6" t="n"/>
    </row>
    <row r="1263">
      <c r="A1263" t="inlineStr">
        <is>
          <t>PRODUCT_PROPERTY_VALUE</t>
        </is>
      </c>
      <c r="B1263" t="inlineStr">
        <is>
          <t>Entity</t>
        </is>
      </c>
      <c r="C1263" t="inlineStr">
        <is>
          <t>SensitivePersonalData</t>
        </is>
      </c>
      <c r="D1263" s="6" t="inlineStr">
        <is>
          <t>No Sensitive Personal Data</t>
        </is>
      </c>
      <c r="E1263" s="6" t="inlineStr">
        <is>
          <t>No Sensitive Personal Data</t>
        </is>
      </c>
      <c r="F1263" s="12" t="inlineStr">
        <is>
          <t>PASS</t>
        </is>
      </c>
      <c r="G1263" t="inlineStr">
        <is>
          <t>BIM-core.SensitivePersonalData</t>
        </is>
      </c>
      <c r="H1263" s="6" t="n"/>
    </row>
    <row r="1264">
      <c r="A1264" t="inlineStr">
        <is>
          <t>PROPERTY_TYPE</t>
        </is>
      </c>
      <c r="B1264" t="inlineStr">
        <is>
          <t>Entity</t>
        </is>
      </c>
      <c r="C1264" t="inlineStr">
        <is>
          <t>CSI</t>
        </is>
      </c>
      <c r="D1264" s="6" t="inlineStr">
        <is>
          <t>false</t>
        </is>
      </c>
      <c r="E1264" s="6" t="inlineStr">
        <is>
          <t>false</t>
        </is>
      </c>
      <c r="F1264" s="12" t="inlineStr">
        <is>
          <t>PASS</t>
        </is>
      </c>
      <c r="G1264" t="inlineStr">
        <is>
          <t>SHL_LDM_EntityPropertyExtension.CSI</t>
        </is>
      </c>
      <c r="H1264" s="6" t="n"/>
    </row>
    <row r="1265">
      <c r="A1265" t="inlineStr">
        <is>
          <t>PROPERTY_TYPE</t>
        </is>
      </c>
      <c r="B1265" t="inlineStr">
        <is>
          <t>Entity</t>
        </is>
      </c>
      <c r="C1265" t="inlineStr">
        <is>
          <t>CommerciallySensitiveInformation</t>
        </is>
      </c>
      <c r="D1265" s="6" t="inlineStr">
        <is>
          <t>No Commercially Sensitive Information</t>
        </is>
      </c>
      <c r="E1265" s="6" t="inlineStr">
        <is>
          <t>No Commercially Sensitive Information</t>
        </is>
      </c>
      <c r="F1265" s="12" t="inlineStr">
        <is>
          <t>PASS</t>
        </is>
      </c>
      <c r="G1265" t="inlineStr">
        <is>
          <t>BIM-core.CommerciallySensitiveInformation</t>
        </is>
      </c>
      <c r="H1265" s="6" t="n"/>
    </row>
    <row r="1266">
      <c r="A1266" t="inlineStr">
        <is>
          <t>PROPERTY_TYPE</t>
        </is>
      </c>
      <c r="B1266" t="inlineStr">
        <is>
          <t>Entity</t>
        </is>
      </c>
      <c r="C1266" t="inlineStr">
        <is>
          <t>Criticality</t>
        </is>
      </c>
      <c r="D1266" s="6" t="inlineStr">
        <is>
          <t>No Critical Data</t>
        </is>
      </c>
      <c r="E1266" s="6" t="inlineStr">
        <is>
          <t>No Critical Data</t>
        </is>
      </c>
      <c r="F1266" s="12" t="inlineStr">
        <is>
          <t>PASS</t>
        </is>
      </c>
      <c r="G1266" t="inlineStr">
        <is>
          <t>BIM-core.Criticality</t>
        </is>
      </c>
      <c r="H1266" s="6" t="n"/>
    </row>
    <row r="1267">
      <c r="A1267" t="inlineStr">
        <is>
          <t>PROPERTY_TYPE</t>
        </is>
      </c>
      <c r="B1267" t="inlineStr">
        <is>
          <t>Entity</t>
        </is>
      </c>
      <c r="C1267" t="inlineStr">
        <is>
          <t>DataCategory</t>
        </is>
      </c>
      <c r="D1267" s="6" t="inlineStr">
        <is>
          <t>Structured</t>
        </is>
      </c>
      <c r="E1267" s="6" t="inlineStr">
        <is>
          <t>Structured</t>
        </is>
      </c>
      <c r="F1267" s="12" t="inlineStr">
        <is>
          <t>PASS</t>
        </is>
      </c>
      <c r="G1267" t="inlineStr">
        <is>
          <t>BIM-core.DataCategory</t>
        </is>
      </c>
      <c r="H1267" s="6" t="n"/>
    </row>
    <row r="1268">
      <c r="A1268" t="inlineStr">
        <is>
          <t>PROPERTY_TYPE</t>
        </is>
      </c>
      <c r="B1268" t="inlineStr">
        <is>
          <t>Entity</t>
        </is>
      </c>
      <c r="C1268" t="inlineStr">
        <is>
          <t>DataConfidentiality</t>
        </is>
      </c>
      <c r="D1268" s="6" t="inlineStr">
        <is>
          <t>Internal</t>
        </is>
      </c>
      <c r="E1268" s="6" t="inlineStr">
        <is>
          <t>Internal</t>
        </is>
      </c>
      <c r="F1268" s="12" t="inlineStr">
        <is>
          <t>PASS</t>
        </is>
      </c>
      <c r="G1268" t="inlineStr">
        <is>
          <t>BIM-core.DataConfidentiality</t>
        </is>
      </c>
      <c r="H1268" s="6" t="n"/>
    </row>
    <row r="1269">
      <c r="A1269" t="inlineStr">
        <is>
          <t>PROPERTY_TYPE</t>
        </is>
      </c>
      <c r="B1269" t="inlineStr">
        <is>
          <t>Entity</t>
        </is>
      </c>
      <c r="C1269" t="inlineStr">
        <is>
          <t>DesignStatus</t>
        </is>
      </c>
      <c r="D1269" s="6" t="inlineStr">
        <is>
          <t>Approved</t>
        </is>
      </c>
      <c r="E1269" s="6" t="inlineStr">
        <is>
          <t>Approved</t>
        </is>
      </c>
      <c r="F1269" s="12" t="inlineStr">
        <is>
          <t>PASS</t>
        </is>
      </c>
      <c r="G1269" t="inlineStr">
        <is>
          <t>BIM-core.DesignStatus</t>
        </is>
      </c>
      <c r="H1269" s="6" t="n"/>
    </row>
    <row r="1270">
      <c r="A1270" t="inlineStr">
        <is>
          <t>PROPERTY_TYPE</t>
        </is>
      </c>
      <c r="B1270" t="inlineStr">
        <is>
          <t>Entity</t>
        </is>
      </c>
      <c r="C1270" t="inlineStr">
        <is>
          <t>EntityCategory</t>
        </is>
      </c>
      <c r="D1270" s="6" t="inlineStr">
        <is>
          <t>Internal Reference</t>
        </is>
      </c>
      <c r="E1270" s="6" t="inlineStr">
        <is>
          <t>Internal Reference</t>
        </is>
      </c>
      <c r="F1270" s="12" t="inlineStr">
        <is>
          <t>PASS</t>
        </is>
      </c>
      <c r="G1270" t="inlineStr">
        <is>
          <t>BIM-core.EntityCategory</t>
        </is>
      </c>
      <c r="H1270" s="6" t="n"/>
    </row>
    <row r="1271">
      <c r="A1271" t="inlineStr">
        <is>
          <t>PROPERTY_TYPE</t>
        </is>
      </c>
      <c r="B1271" t="inlineStr">
        <is>
          <t>Entity</t>
        </is>
      </c>
      <c r="C1271" t="inlineStr">
        <is>
          <t>EntityPersonalData</t>
        </is>
      </c>
      <c r="D1271" s="6" t="inlineStr">
        <is>
          <t>No Personal Data</t>
        </is>
      </c>
      <c r="E1271" s="6" t="inlineStr">
        <is>
          <t>No Personal Data</t>
        </is>
      </c>
      <c r="F1271" s="12" t="inlineStr">
        <is>
          <t>PASS</t>
        </is>
      </c>
      <c r="G1271" t="inlineStr">
        <is>
          <t>BIM-core.EntityPersonalData</t>
        </is>
      </c>
      <c r="H1271" s="6" t="n"/>
    </row>
    <row r="1272">
      <c r="A1272" t="inlineStr">
        <is>
          <t>PROPERTY_TYPE</t>
        </is>
      </c>
      <c r="B1272" t="inlineStr">
        <is>
          <t>Entity</t>
        </is>
      </c>
      <c r="C1272" t="inlineStr">
        <is>
          <t>FinancialPersonalData</t>
        </is>
      </c>
      <c r="D1272" s="6" t="inlineStr">
        <is>
          <t>No Financial Personal Data</t>
        </is>
      </c>
      <c r="E1272" s="6" t="inlineStr">
        <is>
          <t>No Financial Personal Data</t>
        </is>
      </c>
      <c r="F1272" s="12" t="inlineStr">
        <is>
          <t>PASS</t>
        </is>
      </c>
      <c r="G1272" t="inlineStr">
        <is>
          <t>BIM-core.FinancialPersonalData</t>
        </is>
      </c>
      <c r="H1272" s="6" t="n"/>
    </row>
    <row r="1273">
      <c r="A1273" t="inlineStr">
        <is>
          <t>PROPERTY_TYPE</t>
        </is>
      </c>
      <c r="B1273" t="inlineStr">
        <is>
          <t>Entity</t>
        </is>
      </c>
      <c r="C1273" t="inlineStr">
        <is>
          <t>MTED_Encryption_Required</t>
        </is>
      </c>
      <c r="D1273" s="6" t="inlineStr">
        <is>
          <t>false</t>
        </is>
      </c>
      <c r="E1273" s="6" t="inlineStr">
        <is>
          <t>false</t>
        </is>
      </c>
      <c r="F1273" s="12" t="inlineStr">
        <is>
          <t>PASS</t>
        </is>
      </c>
      <c r="G1273" t="inlineStr">
        <is>
          <t>SHL_LDM_EntityPropertyExtension.MTED_Encryption_Required</t>
        </is>
      </c>
      <c r="H1273" s="6" t="n"/>
    </row>
    <row r="1274">
      <c r="A1274" t="inlineStr">
        <is>
          <t>PROPERTY_TYPE</t>
        </is>
      </c>
      <c r="B1274" t="inlineStr">
        <is>
          <t>Entity</t>
        </is>
      </c>
      <c r="C1274" t="inlineStr">
        <is>
          <t>MappingLevel</t>
        </is>
      </c>
      <c r="D1274" s="6" t="inlineStr">
        <is>
          <t>BLM</t>
        </is>
      </c>
      <c r="E1274" s="6" t="inlineStr">
        <is>
          <t>BLM</t>
        </is>
      </c>
      <c r="F1274" s="12" t="inlineStr">
        <is>
          <t>PASS</t>
        </is>
      </c>
      <c r="G1274" t="inlineStr">
        <is>
          <t>BIM-core.MappingLevel</t>
        </is>
      </c>
      <c r="H1274" s="6" t="n"/>
    </row>
    <row r="1275">
      <c r="A1275" t="inlineStr">
        <is>
          <t>PROPERTY_TYPE</t>
        </is>
      </c>
      <c r="B1275" t="inlineStr">
        <is>
          <t>Entity</t>
        </is>
      </c>
      <c r="C1275" t="inlineStr">
        <is>
          <t>MapsToEntity</t>
        </is>
      </c>
      <c r="D1275" s="6" t="inlineStr">
        <is>
          <t>PHYSICAL_PROPERTY_TYPE</t>
        </is>
      </c>
      <c r="E1275" s="6" t="inlineStr">
        <is>
          <t>PHYSICAL_PROPERTY_TYPE</t>
        </is>
      </c>
      <c r="F1275" s="12" t="inlineStr">
        <is>
          <t>PASS</t>
        </is>
      </c>
      <c r="G1275" t="inlineStr">
        <is>
          <t>BIM-core.MapsToEntity</t>
        </is>
      </c>
      <c r="H1275" s="6" t="n"/>
    </row>
    <row r="1276">
      <c r="A1276" t="inlineStr">
        <is>
          <t>PROPERTY_TYPE</t>
        </is>
      </c>
      <c r="B1276" t="inlineStr">
        <is>
          <t>Entity</t>
        </is>
      </c>
      <c r="C1276" t="inlineStr">
        <is>
          <t>PD_ObjectID</t>
        </is>
      </c>
      <c r="D1276" s="6" t="inlineStr">
        <is>
          <t>5CF66D83-CCA0-42D7-9537-C0196D993721</t>
        </is>
      </c>
      <c r="E1276" s="6" t="inlineStr">
        <is>
          <t>5CF66D83-CCA0-42D7-9537-C0196D993721</t>
        </is>
      </c>
      <c r="F1276" s="12" t="inlineStr">
        <is>
          <t>PASS</t>
        </is>
      </c>
      <c r="H1276" s="6" t="n"/>
    </row>
    <row r="1277">
      <c r="A1277" t="inlineStr">
        <is>
          <t>PROPERTY_TYPE</t>
        </is>
      </c>
      <c r="B1277" t="inlineStr">
        <is>
          <t>Entity</t>
        </is>
      </c>
      <c r="C1277" t="inlineStr">
        <is>
          <t>PD_SourceExtraction</t>
        </is>
      </c>
      <c r="D1277" s="6" t="inlineStr">
        <is>
          <t>46603045</t>
        </is>
      </c>
      <c r="E1277" s="6" t="inlineStr">
        <is>
          <t>46603045</t>
        </is>
      </c>
      <c r="F1277" s="12" t="inlineStr">
        <is>
          <t>PASS</t>
        </is>
      </c>
      <c r="H1277" s="6" t="n"/>
    </row>
    <row r="1278">
      <c r="A1278" t="inlineStr">
        <is>
          <t>PROPERTY_TYPE</t>
        </is>
      </c>
      <c r="B1278" t="inlineStr">
        <is>
          <t>Entity</t>
        </is>
      </c>
      <c r="C1278" t="inlineStr">
        <is>
          <t>PD_SourceModel</t>
        </is>
      </c>
      <c r="D1278" s="6" t="inlineStr">
        <is>
          <t>05_Carbon_Calculator</t>
        </is>
      </c>
      <c r="E1278" s="6" t="inlineStr">
        <is>
          <t>05_Carbon_Calculator</t>
        </is>
      </c>
      <c r="F1278" s="12" t="inlineStr">
        <is>
          <t>PASS</t>
        </is>
      </c>
      <c r="H1278" s="6" t="n"/>
    </row>
    <row r="1279">
      <c r="A1279" t="inlineStr">
        <is>
          <t>PROPERTY_TYPE</t>
        </is>
      </c>
      <c r="B1279" t="inlineStr">
        <is>
          <t>Entity</t>
        </is>
      </c>
      <c r="C1279" t="inlineStr">
        <is>
          <t>SensitivePersonalData</t>
        </is>
      </c>
      <c r="D1279" s="6" t="inlineStr">
        <is>
          <t>No Sensitive Personal Data</t>
        </is>
      </c>
      <c r="E1279" s="6" t="inlineStr">
        <is>
          <t>No Sensitive Personal Data</t>
        </is>
      </c>
      <c r="F1279" s="12" t="inlineStr">
        <is>
          <t>PASS</t>
        </is>
      </c>
      <c r="G1279" t="inlineStr">
        <is>
          <t>BIM-core.SensitivePersonalData</t>
        </is>
      </c>
      <c r="H1279" s="6" t="n"/>
    </row>
    <row r="1280">
      <c r="A1280" t="inlineStr">
        <is>
          <t>PUBLICATION</t>
        </is>
      </c>
      <c r="B1280" t="inlineStr">
        <is>
          <t>Entity</t>
        </is>
      </c>
      <c r="C1280" t="inlineStr">
        <is>
          <t>CommerciallySensitiveInformation</t>
        </is>
      </c>
      <c r="D1280" s="6" t="inlineStr">
        <is>
          <t>No Commercially Sensitive Information</t>
        </is>
      </c>
      <c r="E1280" s="6" t="inlineStr">
        <is>
          <t>No Commercially Sensitive Information</t>
        </is>
      </c>
      <c r="F1280" s="12" t="inlineStr">
        <is>
          <t>PASS</t>
        </is>
      </c>
      <c r="G1280" t="inlineStr">
        <is>
          <t>BIM-core.CommerciallySensitiveInformation</t>
        </is>
      </c>
      <c r="H1280" s="6" t="n"/>
    </row>
    <row r="1281">
      <c r="A1281" t="inlineStr">
        <is>
          <t>PUBLICATION</t>
        </is>
      </c>
      <c r="B1281" t="inlineStr">
        <is>
          <t>Entity</t>
        </is>
      </c>
      <c r="C1281" t="inlineStr">
        <is>
          <t>Criticality</t>
        </is>
      </c>
      <c r="D1281" s="6" t="inlineStr">
        <is>
          <t>No Critical Data</t>
        </is>
      </c>
      <c r="E1281" s="6" t="inlineStr">
        <is>
          <t>No Critical Data</t>
        </is>
      </c>
      <c r="F1281" s="12" t="inlineStr">
        <is>
          <t>PASS</t>
        </is>
      </c>
      <c r="G1281" t="inlineStr">
        <is>
          <t>BIM-core.Criticality</t>
        </is>
      </c>
      <c r="H1281" s="6" t="n"/>
    </row>
    <row r="1282">
      <c r="A1282" t="inlineStr">
        <is>
          <t>PUBLICATION</t>
        </is>
      </c>
      <c r="B1282" t="inlineStr">
        <is>
          <t>Entity</t>
        </is>
      </c>
      <c r="C1282" t="inlineStr">
        <is>
          <t>DataCategory</t>
        </is>
      </c>
      <c r="D1282" s="6" t="inlineStr">
        <is>
          <t>Structured</t>
        </is>
      </c>
      <c r="E1282" s="6" t="inlineStr">
        <is>
          <t>Structured</t>
        </is>
      </c>
      <c r="F1282" s="12" t="inlineStr">
        <is>
          <t>PASS</t>
        </is>
      </c>
      <c r="G1282" t="inlineStr">
        <is>
          <t>BIM-core.DataCategory</t>
        </is>
      </c>
      <c r="H1282" s="6" t="n"/>
    </row>
    <row r="1283">
      <c r="A1283" t="inlineStr">
        <is>
          <t>PUBLICATION</t>
        </is>
      </c>
      <c r="B1283" t="inlineStr">
        <is>
          <t>Entity</t>
        </is>
      </c>
      <c r="C1283" t="inlineStr">
        <is>
          <t>DataConfidentiality</t>
        </is>
      </c>
      <c r="D1283" s="6" t="inlineStr">
        <is>
          <t>Internal</t>
        </is>
      </c>
      <c r="E1283" s="6" t="inlineStr">
        <is>
          <t>Internal</t>
        </is>
      </c>
      <c r="F1283" s="12" t="inlineStr">
        <is>
          <t>PASS</t>
        </is>
      </c>
      <c r="G1283" t="inlineStr">
        <is>
          <t>BIM-core.DataConfidentiality</t>
        </is>
      </c>
      <c r="H1283" s="6" t="n"/>
    </row>
    <row r="1284">
      <c r="A1284" t="inlineStr">
        <is>
          <t>PUBLICATION</t>
        </is>
      </c>
      <c r="B1284" t="inlineStr">
        <is>
          <t>Entity</t>
        </is>
      </c>
      <c r="C1284" t="inlineStr">
        <is>
          <t>DesignStatus</t>
        </is>
      </c>
      <c r="D1284" s="6" t="inlineStr">
        <is>
          <t>Approved</t>
        </is>
      </c>
      <c r="E1284" s="6" t="inlineStr">
        <is>
          <t>Approved</t>
        </is>
      </c>
      <c r="F1284" s="12" t="inlineStr">
        <is>
          <t>PASS</t>
        </is>
      </c>
      <c r="G1284" t="inlineStr">
        <is>
          <t>BIM-core.DesignStatus</t>
        </is>
      </c>
      <c r="H1284" s="6" t="n"/>
    </row>
    <row r="1285">
      <c r="A1285" t="inlineStr">
        <is>
          <t>PUBLICATION</t>
        </is>
      </c>
      <c r="B1285" t="inlineStr">
        <is>
          <t>Entity</t>
        </is>
      </c>
      <c r="C1285" t="inlineStr">
        <is>
          <t>EntityCategory</t>
        </is>
      </c>
      <c r="D1285" s="6" t="inlineStr">
        <is>
          <t>Master</t>
        </is>
      </c>
      <c r="E1285" s="6" t="inlineStr">
        <is>
          <t>Master</t>
        </is>
      </c>
      <c r="F1285" s="12" t="inlineStr">
        <is>
          <t>PASS</t>
        </is>
      </c>
      <c r="G1285" t="inlineStr">
        <is>
          <t>BIM-core.EntityCategory</t>
        </is>
      </c>
      <c r="H1285" s="6" t="n"/>
    </row>
    <row r="1286">
      <c r="A1286" t="inlineStr">
        <is>
          <t>PUBLICATION</t>
        </is>
      </c>
      <c r="B1286" t="inlineStr">
        <is>
          <t>Entity</t>
        </is>
      </c>
      <c r="C1286" t="inlineStr">
        <is>
          <t>EntityPersonalData</t>
        </is>
      </c>
      <c r="D1286" s="6" t="inlineStr">
        <is>
          <t>No Personal Data</t>
        </is>
      </c>
      <c r="E1286" s="6" t="inlineStr">
        <is>
          <t>No Personal Data</t>
        </is>
      </c>
      <c r="F1286" s="12" t="inlineStr">
        <is>
          <t>PASS</t>
        </is>
      </c>
      <c r="G1286" t="inlineStr">
        <is>
          <t>BIM-core.EntityPersonalData</t>
        </is>
      </c>
      <c r="H1286" s="6" t="n"/>
    </row>
    <row r="1287">
      <c r="A1287" t="inlineStr">
        <is>
          <t>PUBLICATION</t>
        </is>
      </c>
      <c r="B1287" t="inlineStr">
        <is>
          <t>Entity</t>
        </is>
      </c>
      <c r="C1287" t="inlineStr">
        <is>
          <t>FinancialPersonalData</t>
        </is>
      </c>
      <c r="D1287" s="6" t="inlineStr">
        <is>
          <t>No Financial Personal Data</t>
        </is>
      </c>
      <c r="E1287" s="6" t="inlineStr">
        <is>
          <t>No Financial Personal Data</t>
        </is>
      </c>
      <c r="F1287" s="12" t="inlineStr">
        <is>
          <t>PASS</t>
        </is>
      </c>
      <c r="G1287" t="inlineStr">
        <is>
          <t>BIM-core.FinancialPersonalData</t>
        </is>
      </c>
      <c r="H1287" s="6" t="n"/>
    </row>
    <row r="1288">
      <c r="A1288" t="inlineStr">
        <is>
          <t>PUBLICATION</t>
        </is>
      </c>
      <c r="B1288" t="inlineStr">
        <is>
          <t>Entity</t>
        </is>
      </c>
      <c r="C1288" t="inlineStr">
        <is>
          <t>MTED_EDaM_Mapping_Note</t>
        </is>
      </c>
      <c r="D1288" s="6" t="inlineStr">
        <is>
          <t>{\rtf1\ansi\ansicpg1252\deff0\nouicompat\deflang2057{\fonttbl{\f0\fnil\fcharset0 Times New Roman;}}</t>
        </is>
      </c>
      <c r="E1288" s="6" t="inlineStr">
        <is>
          <t>{\rtf1\ansi\ansicpg1252\deff0\nouicompat\deflang2057{\fonttbl{\f0\fnil\fcharset0 Times New Roman;}}</t>
        </is>
      </c>
      <c r="F1288" s="12" t="inlineStr">
        <is>
          <t>PASS</t>
        </is>
      </c>
      <c r="G1288" t="inlineStr">
        <is>
          <t>BIM-core.MTED_EDaM_Mapping_Note</t>
        </is>
      </c>
      <c r="H1288" s="6" t="n"/>
    </row>
    <row r="1289">
      <c r="A1289" t="inlineStr">
        <is>
          <t>PUBLICATION</t>
        </is>
      </c>
      <c r="B1289" t="inlineStr">
        <is>
          <t>Entity</t>
        </is>
      </c>
      <c r="C1289" t="inlineStr">
        <is>
          <t>MappingLevel</t>
        </is>
      </c>
      <c r="D1289" s="6" t="inlineStr">
        <is>
          <t>Application Specific</t>
        </is>
      </c>
      <c r="E1289" s="6" t="inlineStr">
        <is>
          <t>Application Specific</t>
        </is>
      </c>
      <c r="F1289" s="12" t="inlineStr">
        <is>
          <t>PASS</t>
        </is>
      </c>
      <c r="G1289" t="inlineStr">
        <is>
          <t>BIM-core.MappingLevel</t>
        </is>
      </c>
      <c r="H1289" s="6" t="n"/>
    </row>
    <row r="1290">
      <c r="A1290" t="inlineStr">
        <is>
          <t>PUBLICATION</t>
        </is>
      </c>
      <c r="B1290" t="inlineStr">
        <is>
          <t>Entity</t>
        </is>
      </c>
      <c r="C1290" t="inlineStr">
        <is>
          <t>PD_ObjectID</t>
        </is>
      </c>
      <c r="D1290" s="6" t="inlineStr">
        <is>
          <t>3839DB5B-EEBC-4A79-B96F-04DA64F6E68C</t>
        </is>
      </c>
      <c r="E1290" s="6" t="inlineStr">
        <is>
          <t>3839DB5B-EEBC-4A79-B96F-04DA64F6E68C</t>
        </is>
      </c>
      <c r="F1290" s="12" t="inlineStr">
        <is>
          <t>PASS</t>
        </is>
      </c>
      <c r="H1290" s="6" t="n"/>
    </row>
    <row r="1291">
      <c r="A1291" t="inlineStr">
        <is>
          <t>PUBLICATION</t>
        </is>
      </c>
      <c r="B1291" t="inlineStr">
        <is>
          <t>Entity</t>
        </is>
      </c>
      <c r="C1291" t="inlineStr">
        <is>
          <t>PD_SourceExtraction</t>
        </is>
      </c>
      <c r="D1291" s="6" t="inlineStr">
        <is>
          <t>46603045</t>
        </is>
      </c>
      <c r="E1291" s="6" t="inlineStr">
        <is>
          <t>46603045</t>
        </is>
      </c>
      <c r="F1291" s="12" t="inlineStr">
        <is>
          <t>PASS</t>
        </is>
      </c>
      <c r="H1291" s="6" t="n"/>
    </row>
    <row r="1292">
      <c r="A1292" t="inlineStr">
        <is>
          <t>PUBLICATION</t>
        </is>
      </c>
      <c r="B1292" t="inlineStr">
        <is>
          <t>Entity</t>
        </is>
      </c>
      <c r="C1292" t="inlineStr">
        <is>
          <t>PD_SourceModel</t>
        </is>
      </c>
      <c r="D1292" s="6" t="inlineStr">
        <is>
          <t>05_Carbon_Calculator</t>
        </is>
      </c>
      <c r="E1292" s="6" t="inlineStr">
        <is>
          <t>05_Carbon_Calculator</t>
        </is>
      </c>
      <c r="F1292" s="12" t="inlineStr">
        <is>
          <t>PASS</t>
        </is>
      </c>
      <c r="H1292" s="6" t="n"/>
    </row>
    <row r="1293">
      <c r="A1293" t="inlineStr">
        <is>
          <t>PUBLICATION</t>
        </is>
      </c>
      <c r="B1293" t="inlineStr">
        <is>
          <t>Entity</t>
        </is>
      </c>
      <c r="C1293" t="inlineStr">
        <is>
          <t>SensitivePersonalData</t>
        </is>
      </c>
      <c r="D1293" s="6" t="inlineStr">
        <is>
          <t>No Sensitive Personal Data</t>
        </is>
      </c>
      <c r="E1293" s="6" t="inlineStr">
        <is>
          <t>No Sensitive Personal Data</t>
        </is>
      </c>
      <c r="F1293" s="12" t="inlineStr">
        <is>
          <t>PASS</t>
        </is>
      </c>
      <c r="G1293" t="inlineStr">
        <is>
          <t>BIM-core.SensitivePersonalData</t>
        </is>
      </c>
      <c r="H1293" s="6" t="n"/>
    </row>
    <row r="1294">
      <c r="A1294" t="inlineStr">
        <is>
          <t>REQ_NCI_CLIENT_PARAMETER</t>
        </is>
      </c>
      <c r="B1294" t="inlineStr">
        <is>
          <t>Entity</t>
        </is>
      </c>
      <c r="C1294" t="inlineStr">
        <is>
          <t>CSI</t>
        </is>
      </c>
      <c r="D1294" s="6" t="inlineStr">
        <is>
          <t>false</t>
        </is>
      </c>
      <c r="E1294" s="6" t="inlineStr">
        <is>
          <t>false</t>
        </is>
      </c>
      <c r="F1294" s="12" t="inlineStr">
        <is>
          <t>PASS</t>
        </is>
      </c>
      <c r="G1294" t="inlineStr">
        <is>
          <t>SHL_LDM_EntityPropertyExtension.CSI</t>
        </is>
      </c>
      <c r="H1294" s="6" t="n"/>
    </row>
    <row r="1295">
      <c r="A1295" t="inlineStr">
        <is>
          <t>REQ_NCI_CLIENT_PARAMETER</t>
        </is>
      </c>
      <c r="B1295" t="inlineStr">
        <is>
          <t>Entity</t>
        </is>
      </c>
      <c r="C1295" t="inlineStr">
        <is>
          <t>CommerciallySensitiveInformation</t>
        </is>
      </c>
      <c r="D1295" s="6" t="inlineStr">
        <is>
          <t>No Commercially Sensitive Information</t>
        </is>
      </c>
      <c r="E1295" s="6" t="inlineStr">
        <is>
          <t>No Commercially Sensitive Information</t>
        </is>
      </c>
      <c r="F1295" s="12" t="inlineStr">
        <is>
          <t>PASS</t>
        </is>
      </c>
      <c r="G1295" t="inlineStr">
        <is>
          <t>BIM-core.CommerciallySensitiveInformation</t>
        </is>
      </c>
      <c r="H1295" s="6" t="n"/>
    </row>
    <row r="1296">
      <c r="A1296" t="inlineStr">
        <is>
          <t>REQ_NCI_CLIENT_PARAMETER</t>
        </is>
      </c>
      <c r="B1296" t="inlineStr">
        <is>
          <t>Entity</t>
        </is>
      </c>
      <c r="C1296" t="inlineStr">
        <is>
          <t>Criticality</t>
        </is>
      </c>
      <c r="D1296" s="6" t="inlineStr">
        <is>
          <t>No Critical Data</t>
        </is>
      </c>
      <c r="E1296" s="6" t="inlineStr">
        <is>
          <t>No Critical Data</t>
        </is>
      </c>
      <c r="F1296" s="12" t="inlineStr">
        <is>
          <t>PASS</t>
        </is>
      </c>
      <c r="G1296" t="inlineStr">
        <is>
          <t>BIM-core.Criticality</t>
        </is>
      </c>
      <c r="H1296" s="6" t="n"/>
    </row>
    <row r="1297">
      <c r="A1297" t="inlineStr">
        <is>
          <t>REQ_NCI_CLIENT_PARAMETER</t>
        </is>
      </c>
      <c r="B1297" t="inlineStr">
        <is>
          <t>Entity</t>
        </is>
      </c>
      <c r="C1297" t="inlineStr">
        <is>
          <t>DataCategory</t>
        </is>
      </c>
      <c r="D1297" s="6" t="inlineStr">
        <is>
          <t>Structured</t>
        </is>
      </c>
      <c r="E1297" s="6" t="inlineStr">
        <is>
          <t>Structured</t>
        </is>
      </c>
      <c r="F1297" s="12" t="inlineStr">
        <is>
          <t>PASS</t>
        </is>
      </c>
      <c r="G1297" t="inlineStr">
        <is>
          <t>BIM-core.DataCategory</t>
        </is>
      </c>
      <c r="H1297" s="6" t="n"/>
    </row>
    <row r="1298">
      <c r="A1298" t="inlineStr">
        <is>
          <t>REQ_NCI_CLIENT_PARAMETER</t>
        </is>
      </c>
      <c r="B1298" t="inlineStr">
        <is>
          <t>Entity</t>
        </is>
      </c>
      <c r="C1298" t="inlineStr">
        <is>
          <t>DataConfidentiality</t>
        </is>
      </c>
      <c r="D1298" s="6" t="inlineStr">
        <is>
          <t>Internal</t>
        </is>
      </c>
      <c r="E1298" s="6" t="inlineStr">
        <is>
          <t>Internal</t>
        </is>
      </c>
      <c r="F1298" s="12" t="inlineStr">
        <is>
          <t>PASS</t>
        </is>
      </c>
      <c r="G1298" t="inlineStr">
        <is>
          <t>BIM-core.DataConfidentiality</t>
        </is>
      </c>
      <c r="H1298" s="6" t="n"/>
    </row>
    <row r="1299">
      <c r="A1299" t="inlineStr">
        <is>
          <t>REQ_NCI_CLIENT_PARAMETER</t>
        </is>
      </c>
      <c r="B1299" t="inlineStr">
        <is>
          <t>Entity</t>
        </is>
      </c>
      <c r="C1299" t="inlineStr">
        <is>
          <t>DesignStatus</t>
        </is>
      </c>
      <c r="D1299" s="6" t="inlineStr">
        <is>
          <t>Approved</t>
        </is>
      </c>
      <c r="E1299" s="6" t="inlineStr">
        <is>
          <t>Approved</t>
        </is>
      </c>
      <c r="F1299" s="12" t="inlineStr">
        <is>
          <t>PASS</t>
        </is>
      </c>
      <c r="G1299" t="inlineStr">
        <is>
          <t>BIM-core.DesignStatus</t>
        </is>
      </c>
      <c r="H1299" s="6" t="n"/>
    </row>
    <row r="1300">
      <c r="A1300" t="inlineStr">
        <is>
          <t>REQ_NCI_CLIENT_PARAMETER</t>
        </is>
      </c>
      <c r="B1300" t="inlineStr">
        <is>
          <t>Entity</t>
        </is>
      </c>
      <c r="C1300" t="inlineStr">
        <is>
          <t>EntityCategory</t>
        </is>
      </c>
      <c r="D1300" s="6" t="inlineStr">
        <is>
          <t>Internal Reference</t>
        </is>
      </c>
      <c r="E1300" s="6" t="inlineStr">
        <is>
          <t>Internal Reference</t>
        </is>
      </c>
      <c r="F1300" s="12" t="inlineStr">
        <is>
          <t>PASS</t>
        </is>
      </c>
      <c r="G1300" t="inlineStr">
        <is>
          <t>BIM-core.EntityCategory</t>
        </is>
      </c>
      <c r="H1300" s="6" t="n"/>
    </row>
    <row r="1301">
      <c r="A1301" t="inlineStr">
        <is>
          <t>REQ_NCI_CLIENT_PARAMETER</t>
        </is>
      </c>
      <c r="B1301" t="inlineStr">
        <is>
          <t>Entity</t>
        </is>
      </c>
      <c r="C1301" t="inlineStr">
        <is>
          <t>EntityPersonalData</t>
        </is>
      </c>
      <c r="D1301" s="6" t="inlineStr">
        <is>
          <t>No Personal Data</t>
        </is>
      </c>
      <c r="E1301" s="6" t="inlineStr">
        <is>
          <t>No Personal Data</t>
        </is>
      </c>
      <c r="F1301" s="12" t="inlineStr">
        <is>
          <t>PASS</t>
        </is>
      </c>
      <c r="G1301" t="inlineStr">
        <is>
          <t>BIM-core.EntityPersonalData</t>
        </is>
      </c>
      <c r="H1301" s="6" t="n"/>
    </row>
    <row r="1302">
      <c r="A1302" t="inlineStr">
        <is>
          <t>REQ_NCI_CLIENT_PARAMETER</t>
        </is>
      </c>
      <c r="B1302" t="inlineStr">
        <is>
          <t>Entity</t>
        </is>
      </c>
      <c r="C1302" t="inlineStr">
        <is>
          <t>FinancialPersonalData</t>
        </is>
      </c>
      <c r="D1302" s="6" t="inlineStr">
        <is>
          <t>No Financial Personal Data</t>
        </is>
      </c>
      <c r="E1302" s="6" t="inlineStr">
        <is>
          <t>No Financial Personal Data</t>
        </is>
      </c>
      <c r="F1302" s="12" t="inlineStr">
        <is>
          <t>PASS</t>
        </is>
      </c>
      <c r="G1302" t="inlineStr">
        <is>
          <t>BIM-core.FinancialPersonalData</t>
        </is>
      </c>
      <c r="H1302" s="6" t="n"/>
    </row>
    <row r="1303">
      <c r="A1303" t="inlineStr">
        <is>
          <t>REQ_NCI_CLIENT_PARAMETER</t>
        </is>
      </c>
      <c r="B1303" t="inlineStr">
        <is>
          <t>Entity</t>
        </is>
      </c>
      <c r="C1303" t="inlineStr">
        <is>
          <t>MTED_EDaM_Mapping_Note</t>
        </is>
      </c>
      <c r="D1303" s="6" t="inlineStr">
        <is>
          <t>{\rtf1\ansi\ansicpg1252\deff0\nouicompat\deflang2057{\fonttbl{\f0\fnil\fcharset0 Times New Roman;}}</t>
        </is>
      </c>
      <c r="E1303" s="6" t="inlineStr">
        <is>
          <t>{\rtf1\ansi\ansicpg1252\deff0\nouicompat\deflang2057{\fonttbl{\f0\fnil\fcharset0 Times New Roman;}}</t>
        </is>
      </c>
      <c r="F1303" s="12" t="inlineStr">
        <is>
          <t>PASS</t>
        </is>
      </c>
      <c r="G1303" t="inlineStr">
        <is>
          <t>BIM-core.MTED_EDaM_Mapping_Note</t>
        </is>
      </c>
      <c r="H1303" s="6" t="n"/>
    </row>
    <row r="1304">
      <c r="A1304" t="inlineStr">
        <is>
          <t>REQ_NCI_CLIENT_PARAMETER</t>
        </is>
      </c>
      <c r="B1304" t="inlineStr">
        <is>
          <t>Entity</t>
        </is>
      </c>
      <c r="C1304" t="inlineStr">
        <is>
          <t>MTED_Encryption_Required</t>
        </is>
      </c>
      <c r="D1304" s="6" t="inlineStr">
        <is>
          <t>false</t>
        </is>
      </c>
      <c r="E1304" s="6" t="inlineStr">
        <is>
          <t>false</t>
        </is>
      </c>
      <c r="F1304" s="12" t="inlineStr">
        <is>
          <t>PASS</t>
        </is>
      </c>
      <c r="G1304" t="inlineStr">
        <is>
          <t>SHL_LDM_EntityPropertyExtension.MTED_Encryption_Required</t>
        </is>
      </c>
      <c r="H1304" s="6" t="n"/>
    </row>
    <row r="1305">
      <c r="A1305" t="inlineStr">
        <is>
          <t>REQ_NCI_CLIENT_PARAMETER</t>
        </is>
      </c>
      <c r="B1305" t="inlineStr">
        <is>
          <t>Entity</t>
        </is>
      </c>
      <c r="C1305" t="inlineStr">
        <is>
          <t>MappingLevel</t>
        </is>
      </c>
      <c r="D1305" s="6" t="inlineStr">
        <is>
          <t>Application Specific</t>
        </is>
      </c>
      <c r="E1305" s="6" t="inlineStr">
        <is>
          <t>Application Specific</t>
        </is>
      </c>
      <c r="F1305" s="12" t="inlineStr">
        <is>
          <t>PASS</t>
        </is>
      </c>
      <c r="G1305" t="inlineStr">
        <is>
          <t>BIM-core.MappingLevel</t>
        </is>
      </c>
      <c r="H1305" s="6" t="n"/>
    </row>
    <row r="1306">
      <c r="A1306" t="inlineStr">
        <is>
          <t>REQ_NCI_CLIENT_PARAMETER</t>
        </is>
      </c>
      <c r="B1306" t="inlineStr">
        <is>
          <t>Entity</t>
        </is>
      </c>
      <c r="C1306" t="inlineStr">
        <is>
          <t>PD_ObjectID</t>
        </is>
      </c>
      <c r="D1306" s="6" t="inlineStr">
        <is>
          <t>8D27AE7B-7E81-4F83-A799-AF511427453A</t>
        </is>
      </c>
      <c r="E1306" s="6" t="inlineStr">
        <is>
          <t>8D27AE7B-7E81-4F83-A799-AF511427453A</t>
        </is>
      </c>
      <c r="F1306" s="12" t="inlineStr">
        <is>
          <t>PASS</t>
        </is>
      </c>
      <c r="H1306" s="6" t="n"/>
    </row>
    <row r="1307">
      <c r="A1307" t="inlineStr">
        <is>
          <t>REQ_NCI_CLIENT_PARAMETER</t>
        </is>
      </c>
      <c r="B1307" t="inlineStr">
        <is>
          <t>Entity</t>
        </is>
      </c>
      <c r="C1307" t="inlineStr">
        <is>
          <t>PD_SourceExtraction</t>
        </is>
      </c>
      <c r="D1307" s="6" t="inlineStr">
        <is>
          <t>46603045</t>
        </is>
      </c>
      <c r="E1307" s="6" t="inlineStr">
        <is>
          <t>46603045</t>
        </is>
      </c>
      <c r="F1307" s="12" t="inlineStr">
        <is>
          <t>PASS</t>
        </is>
      </c>
      <c r="H1307" s="6" t="n"/>
    </row>
    <row r="1308">
      <c r="A1308" t="inlineStr">
        <is>
          <t>REQ_NCI_CLIENT_PARAMETER</t>
        </is>
      </c>
      <c r="B1308" t="inlineStr">
        <is>
          <t>Entity</t>
        </is>
      </c>
      <c r="C1308" t="inlineStr">
        <is>
          <t>PD_SourceModel</t>
        </is>
      </c>
      <c r="D1308" s="6" t="inlineStr">
        <is>
          <t>05_Carbon_Calculator</t>
        </is>
      </c>
      <c r="E1308" s="6" t="inlineStr">
        <is>
          <t>05_Carbon_Calculator</t>
        </is>
      </c>
      <c r="F1308" s="12" t="inlineStr">
        <is>
          <t>PASS</t>
        </is>
      </c>
      <c r="H1308" s="6" t="n"/>
    </row>
    <row r="1309">
      <c r="A1309" t="inlineStr">
        <is>
          <t>REQ_NCI_CLIENT_PARAMETER</t>
        </is>
      </c>
      <c r="B1309" t="inlineStr">
        <is>
          <t>Entity</t>
        </is>
      </c>
      <c r="C1309" t="inlineStr">
        <is>
          <t>SensitivePersonalData</t>
        </is>
      </c>
      <c r="D1309" s="6" t="inlineStr">
        <is>
          <t>No Sensitive Personal Data</t>
        </is>
      </c>
      <c r="E1309" s="6" t="inlineStr">
        <is>
          <t>No Sensitive Personal Data</t>
        </is>
      </c>
      <c r="F1309" s="12" t="inlineStr">
        <is>
          <t>PASS</t>
        </is>
      </c>
      <c r="G1309" t="inlineStr">
        <is>
          <t>BIM-core.SensitivePersonalData</t>
        </is>
      </c>
      <c r="H1309" s="6" t="n"/>
    </row>
    <row r="1310">
      <c r="A1310" t="inlineStr">
        <is>
          <t>REQ_NCI_CLIENT_PARAMETER_PVS</t>
        </is>
      </c>
      <c r="B1310" t="inlineStr">
        <is>
          <t>Entity</t>
        </is>
      </c>
      <c r="C1310" t="inlineStr">
        <is>
          <t>CommerciallySensitiveInformation</t>
        </is>
      </c>
      <c r="D1310" s="6" t="inlineStr">
        <is>
          <t>No Commercially Sensitive Information</t>
        </is>
      </c>
      <c r="E1310" s="6" t="inlineStr">
        <is>
          <t>No Commercially Sensitive Information</t>
        </is>
      </c>
      <c r="F1310" s="12" t="inlineStr">
        <is>
          <t>PASS</t>
        </is>
      </c>
      <c r="G1310" t="inlineStr">
        <is>
          <t>BIM-core.CommerciallySensitiveInformation</t>
        </is>
      </c>
      <c r="H1310" s="6" t="n"/>
    </row>
    <row r="1311">
      <c r="A1311" t="inlineStr">
        <is>
          <t>REQ_NCI_CLIENT_PARAMETER_PVS</t>
        </is>
      </c>
      <c r="B1311" t="inlineStr">
        <is>
          <t>Entity</t>
        </is>
      </c>
      <c r="C1311" t="inlineStr">
        <is>
          <t>Criticality</t>
        </is>
      </c>
      <c r="D1311" s="6" t="inlineStr">
        <is>
          <t>No Critical Data</t>
        </is>
      </c>
      <c r="E1311" s="6" t="inlineStr">
        <is>
          <t>No Critical Data</t>
        </is>
      </c>
      <c r="F1311" s="12" t="inlineStr">
        <is>
          <t>PASS</t>
        </is>
      </c>
      <c r="G1311" t="inlineStr">
        <is>
          <t>BIM-core.Criticality</t>
        </is>
      </c>
      <c r="H1311" s="6" t="n"/>
    </row>
    <row r="1312">
      <c r="A1312" t="inlineStr">
        <is>
          <t>REQ_NCI_CLIENT_PARAMETER_PVS</t>
        </is>
      </c>
      <c r="B1312" t="inlineStr">
        <is>
          <t>Entity</t>
        </is>
      </c>
      <c r="C1312" t="inlineStr">
        <is>
          <t>DataCategory</t>
        </is>
      </c>
      <c r="D1312" s="6" t="inlineStr">
        <is>
          <t>Structured</t>
        </is>
      </c>
      <c r="E1312" s="6" t="inlineStr">
        <is>
          <t>Structured</t>
        </is>
      </c>
      <c r="F1312" s="12" t="inlineStr">
        <is>
          <t>PASS</t>
        </is>
      </c>
      <c r="G1312" t="inlineStr">
        <is>
          <t>BIM-core.DataCategory</t>
        </is>
      </c>
      <c r="H1312" s="6" t="n"/>
    </row>
    <row r="1313">
      <c r="A1313" t="inlineStr">
        <is>
          <t>REQ_NCI_CLIENT_PARAMETER_PVS</t>
        </is>
      </c>
      <c r="B1313" t="inlineStr">
        <is>
          <t>Entity</t>
        </is>
      </c>
      <c r="C1313" t="inlineStr">
        <is>
          <t>DataConfidentiality</t>
        </is>
      </c>
      <c r="D1313" s="6" t="inlineStr">
        <is>
          <t>Internal</t>
        </is>
      </c>
      <c r="E1313" s="6" t="inlineStr">
        <is>
          <t>Internal</t>
        </is>
      </c>
      <c r="F1313" s="12" t="inlineStr">
        <is>
          <t>PASS</t>
        </is>
      </c>
      <c r="G1313" t="inlineStr">
        <is>
          <t>BIM-core.DataConfidentiality</t>
        </is>
      </c>
      <c r="H1313" s="6" t="n"/>
    </row>
    <row r="1314">
      <c r="A1314" t="inlineStr">
        <is>
          <t>REQ_NCI_CLIENT_PARAMETER_PVS</t>
        </is>
      </c>
      <c r="B1314" t="inlineStr">
        <is>
          <t>Entity</t>
        </is>
      </c>
      <c r="C1314" t="inlineStr">
        <is>
          <t>DesignStatus</t>
        </is>
      </c>
      <c r="D1314" s="6" t="inlineStr">
        <is>
          <t>Approved</t>
        </is>
      </c>
      <c r="E1314" s="6" t="inlineStr">
        <is>
          <t>Approved</t>
        </is>
      </c>
      <c r="F1314" s="12" t="inlineStr">
        <is>
          <t>PASS</t>
        </is>
      </c>
      <c r="G1314" t="inlineStr">
        <is>
          <t>BIM-core.DesignStatus</t>
        </is>
      </c>
      <c r="H1314" s="6" t="n"/>
    </row>
    <row r="1315">
      <c r="A1315" t="inlineStr">
        <is>
          <t>REQ_NCI_CLIENT_PARAMETER_PVS</t>
        </is>
      </c>
      <c r="B1315" t="inlineStr">
        <is>
          <t>Entity</t>
        </is>
      </c>
      <c r="C1315" t="inlineStr">
        <is>
          <t>EntityCategory</t>
        </is>
      </c>
      <c r="D1315" s="6" t="inlineStr">
        <is>
          <t>Intersection</t>
        </is>
      </c>
      <c r="E1315" s="6" t="inlineStr">
        <is>
          <t>Intersection</t>
        </is>
      </c>
      <c r="F1315" s="12" t="inlineStr">
        <is>
          <t>PASS</t>
        </is>
      </c>
      <c r="G1315" t="inlineStr">
        <is>
          <t>BIM-core.EntityCategory</t>
        </is>
      </c>
      <c r="H1315" s="6" t="n"/>
    </row>
    <row r="1316">
      <c r="A1316" t="inlineStr">
        <is>
          <t>REQ_NCI_CLIENT_PARAMETER_PVS</t>
        </is>
      </c>
      <c r="B1316" t="inlineStr">
        <is>
          <t>Entity</t>
        </is>
      </c>
      <c r="C1316" t="inlineStr">
        <is>
          <t>EntityPersonalData</t>
        </is>
      </c>
      <c r="D1316" s="6" t="inlineStr">
        <is>
          <t>No Personal Data</t>
        </is>
      </c>
      <c r="E1316" s="6" t="inlineStr">
        <is>
          <t>No Personal Data</t>
        </is>
      </c>
      <c r="F1316" s="12" t="inlineStr">
        <is>
          <t>PASS</t>
        </is>
      </c>
      <c r="G1316" t="inlineStr">
        <is>
          <t>BIM-core.EntityPersonalData</t>
        </is>
      </c>
      <c r="H1316" s="6" t="n"/>
    </row>
    <row r="1317">
      <c r="A1317" t="inlineStr">
        <is>
          <t>REQ_NCI_CLIENT_PARAMETER_PVS</t>
        </is>
      </c>
      <c r="B1317" t="inlineStr">
        <is>
          <t>Entity</t>
        </is>
      </c>
      <c r="C1317" t="inlineStr">
        <is>
          <t>FinancialPersonalData</t>
        </is>
      </c>
      <c r="D1317" s="6" t="inlineStr">
        <is>
          <t>No Financial Personal Data</t>
        </is>
      </c>
      <c r="E1317" s="6" t="inlineStr">
        <is>
          <t>No Financial Personal Data</t>
        </is>
      </c>
      <c r="F1317" s="12" t="inlineStr">
        <is>
          <t>PASS</t>
        </is>
      </c>
      <c r="G1317" t="inlineStr">
        <is>
          <t>BIM-core.FinancialPersonalData</t>
        </is>
      </c>
      <c r="H1317" s="6" t="n"/>
    </row>
    <row r="1318">
      <c r="A1318" t="inlineStr">
        <is>
          <t>REQ_NCI_CLIENT_PARAMETER_PVS</t>
        </is>
      </c>
      <c r="B1318" t="inlineStr">
        <is>
          <t>Entity</t>
        </is>
      </c>
      <c r="C1318" t="inlineStr">
        <is>
          <t>MTED_EDaM_Mapping_Note</t>
        </is>
      </c>
      <c r="D1318" s="6" t="inlineStr">
        <is>
          <t>{\rtf1\ansi\ansicpg1252\deff0\nouicompat\deflang2057{\fonttbl{\f0\fnil\fcharset0 Times New Roman;}}</t>
        </is>
      </c>
      <c r="E1318" s="6" t="inlineStr">
        <is>
          <t>{\rtf1\ansi\ansicpg1252\deff0\nouicompat\deflang2057{\fonttbl{\f0\fnil\fcharset0 Times New Roman;}}</t>
        </is>
      </c>
      <c r="F1318" s="12" t="inlineStr">
        <is>
          <t>PASS</t>
        </is>
      </c>
      <c r="G1318" t="inlineStr">
        <is>
          <t>BIM-core.MTED_EDaM_Mapping_Note</t>
        </is>
      </c>
      <c r="H1318" s="6" t="n"/>
    </row>
    <row r="1319">
      <c r="A1319" t="inlineStr">
        <is>
          <t>REQ_NCI_CLIENT_PARAMETER_PVS</t>
        </is>
      </c>
      <c r="B1319" t="inlineStr">
        <is>
          <t>Entity</t>
        </is>
      </c>
      <c r="C1319" t="inlineStr">
        <is>
          <t>MappingLevel</t>
        </is>
      </c>
      <c r="D1319" s="6" t="inlineStr">
        <is>
          <t>Application Specific</t>
        </is>
      </c>
      <c r="E1319" s="6" t="inlineStr">
        <is>
          <t>Application Specific</t>
        </is>
      </c>
      <c r="F1319" s="12" t="inlineStr">
        <is>
          <t>PASS</t>
        </is>
      </c>
      <c r="G1319" t="inlineStr">
        <is>
          <t>BIM-core.MappingLevel</t>
        </is>
      </c>
      <c r="H1319" s="6" t="n"/>
    </row>
    <row r="1320">
      <c r="A1320" t="inlineStr">
        <is>
          <t>REQ_NCI_CLIENT_PARAMETER_PVS</t>
        </is>
      </c>
      <c r="B1320" t="inlineStr">
        <is>
          <t>Entity</t>
        </is>
      </c>
      <c r="C1320" t="inlineStr">
        <is>
          <t>PD_ObjectID</t>
        </is>
      </c>
      <c r="D1320" s="6" t="inlineStr">
        <is>
          <t>450C9DCB-F817-431F-8C30-41454D986F03</t>
        </is>
      </c>
      <c r="E1320" s="6" t="inlineStr">
        <is>
          <t>450C9DCB-F817-431F-8C30-41454D986F03</t>
        </is>
      </c>
      <c r="F1320" s="12" t="inlineStr">
        <is>
          <t>PASS</t>
        </is>
      </c>
      <c r="H1320" s="6" t="n"/>
    </row>
    <row r="1321">
      <c r="A1321" t="inlineStr">
        <is>
          <t>REQ_NCI_CLIENT_PARAMETER_PVS</t>
        </is>
      </c>
      <c r="B1321" t="inlineStr">
        <is>
          <t>Entity</t>
        </is>
      </c>
      <c r="C1321" t="inlineStr">
        <is>
          <t>PD_SourceExtraction</t>
        </is>
      </c>
      <c r="D1321" s="6" t="inlineStr">
        <is>
          <t>46603045</t>
        </is>
      </c>
      <c r="E1321" s="6" t="inlineStr">
        <is>
          <t>46603045</t>
        </is>
      </c>
      <c r="F1321" s="12" t="inlineStr">
        <is>
          <t>PASS</t>
        </is>
      </c>
      <c r="H1321" s="6" t="n"/>
    </row>
    <row r="1322">
      <c r="A1322" t="inlineStr">
        <is>
          <t>REQ_NCI_CLIENT_PARAMETER_PVS</t>
        </is>
      </c>
      <c r="B1322" t="inlineStr">
        <is>
          <t>Entity</t>
        </is>
      </c>
      <c r="C1322" t="inlineStr">
        <is>
          <t>PD_SourceModel</t>
        </is>
      </c>
      <c r="D1322" s="6" t="inlineStr">
        <is>
          <t>05_Carbon_Calculator</t>
        </is>
      </c>
      <c r="E1322" s="6" t="inlineStr">
        <is>
          <t>05_Carbon_Calculator</t>
        </is>
      </c>
      <c r="F1322" s="12" t="inlineStr">
        <is>
          <t>PASS</t>
        </is>
      </c>
      <c r="H1322" s="6" t="n"/>
    </row>
    <row r="1323">
      <c r="A1323" t="inlineStr">
        <is>
          <t>REQ_NCI_CLIENT_PARAMETER_PVS</t>
        </is>
      </c>
      <c r="B1323" t="inlineStr">
        <is>
          <t>Entity</t>
        </is>
      </c>
      <c r="C1323" t="inlineStr">
        <is>
          <t>SensitivePersonalData</t>
        </is>
      </c>
      <c r="D1323" s="6" t="inlineStr">
        <is>
          <t>No Sensitive Personal Data</t>
        </is>
      </c>
      <c r="E1323" s="6" t="inlineStr">
        <is>
          <t>No Sensitive Personal Data</t>
        </is>
      </c>
      <c r="F1323" s="12" t="inlineStr">
        <is>
          <t>PASS</t>
        </is>
      </c>
      <c r="G1323" t="inlineStr">
        <is>
          <t>BIM-core.SensitivePersonalData</t>
        </is>
      </c>
      <c r="H1323" s="6" t="n"/>
    </row>
    <row r="1324">
      <c r="A1324" t="inlineStr">
        <is>
          <t>REQ_NCI_CLIENT_PARAMETER_VALUE_SET</t>
        </is>
      </c>
      <c r="B1324" t="inlineStr">
        <is>
          <t>Entity</t>
        </is>
      </c>
      <c r="C1324" t="inlineStr">
        <is>
          <t>CSI</t>
        </is>
      </c>
      <c r="D1324" s="6" t="inlineStr">
        <is>
          <t>false</t>
        </is>
      </c>
      <c r="E1324" s="6" t="inlineStr">
        <is>
          <t>false</t>
        </is>
      </c>
      <c r="F1324" s="12" t="inlineStr">
        <is>
          <t>PASS</t>
        </is>
      </c>
      <c r="G1324" t="inlineStr">
        <is>
          <t>SHL_LDM_EntityPropertyExtension.CSI</t>
        </is>
      </c>
      <c r="H1324" s="6" t="n"/>
    </row>
    <row r="1325">
      <c r="A1325" t="inlineStr">
        <is>
          <t>REQ_NCI_CLIENT_PARAMETER_VALUE_SET</t>
        </is>
      </c>
      <c r="B1325" t="inlineStr">
        <is>
          <t>Entity</t>
        </is>
      </c>
      <c r="C1325" t="inlineStr">
        <is>
          <t>CommerciallySensitiveInformation</t>
        </is>
      </c>
      <c r="D1325" s="6" t="inlineStr">
        <is>
          <t>No Commercially Sensitive Information</t>
        </is>
      </c>
      <c r="E1325" s="6" t="inlineStr">
        <is>
          <t>No Commercially Sensitive Information</t>
        </is>
      </c>
      <c r="F1325" s="12" t="inlineStr">
        <is>
          <t>PASS</t>
        </is>
      </c>
      <c r="G1325" t="inlineStr">
        <is>
          <t>BIM-core.CommerciallySensitiveInformation</t>
        </is>
      </c>
      <c r="H1325" s="6" t="n"/>
    </row>
    <row r="1326">
      <c r="A1326" t="inlineStr">
        <is>
          <t>REQ_NCI_CLIENT_PARAMETER_VALUE_SET</t>
        </is>
      </c>
      <c r="B1326" t="inlineStr">
        <is>
          <t>Entity</t>
        </is>
      </c>
      <c r="C1326" t="inlineStr">
        <is>
          <t>Criticality</t>
        </is>
      </c>
      <c r="D1326" s="6" t="inlineStr">
        <is>
          <t>No Critical Data</t>
        </is>
      </c>
      <c r="E1326" s="6" t="inlineStr">
        <is>
          <t>No Critical Data</t>
        </is>
      </c>
      <c r="F1326" s="12" t="inlineStr">
        <is>
          <t>PASS</t>
        </is>
      </c>
      <c r="G1326" t="inlineStr">
        <is>
          <t>BIM-core.Criticality</t>
        </is>
      </c>
      <c r="H1326" s="6" t="n"/>
    </row>
    <row r="1327">
      <c r="A1327" t="inlineStr">
        <is>
          <t>REQ_NCI_CLIENT_PARAMETER_VALUE_SET</t>
        </is>
      </c>
      <c r="B1327" t="inlineStr">
        <is>
          <t>Entity</t>
        </is>
      </c>
      <c r="C1327" t="inlineStr">
        <is>
          <t>DataCategory</t>
        </is>
      </c>
      <c r="D1327" s="6" t="inlineStr">
        <is>
          <t>Structured</t>
        </is>
      </c>
      <c r="E1327" s="6" t="inlineStr">
        <is>
          <t>Structured</t>
        </is>
      </c>
      <c r="F1327" s="12" t="inlineStr">
        <is>
          <t>PASS</t>
        </is>
      </c>
      <c r="G1327" t="inlineStr">
        <is>
          <t>BIM-core.DataCategory</t>
        </is>
      </c>
      <c r="H1327" s="6" t="n"/>
    </row>
    <row r="1328">
      <c r="A1328" t="inlineStr">
        <is>
          <t>REQ_NCI_CLIENT_PARAMETER_VALUE_SET</t>
        </is>
      </c>
      <c r="B1328" t="inlineStr">
        <is>
          <t>Entity</t>
        </is>
      </c>
      <c r="C1328" t="inlineStr">
        <is>
          <t>DataConfidentiality</t>
        </is>
      </c>
      <c r="D1328" s="6" t="inlineStr">
        <is>
          <t>Internal</t>
        </is>
      </c>
      <c r="E1328" s="6" t="inlineStr">
        <is>
          <t>Internal</t>
        </is>
      </c>
      <c r="F1328" s="12" t="inlineStr">
        <is>
          <t>PASS</t>
        </is>
      </c>
      <c r="G1328" t="inlineStr">
        <is>
          <t>BIM-core.DataConfidentiality</t>
        </is>
      </c>
      <c r="H1328" s="6" t="n"/>
    </row>
    <row r="1329">
      <c r="A1329" t="inlineStr">
        <is>
          <t>REQ_NCI_CLIENT_PARAMETER_VALUE_SET</t>
        </is>
      </c>
      <c r="B1329" t="inlineStr">
        <is>
          <t>Entity</t>
        </is>
      </c>
      <c r="C1329" t="inlineStr">
        <is>
          <t>DesignStatus</t>
        </is>
      </c>
      <c r="D1329" s="6" t="inlineStr">
        <is>
          <t>Approved</t>
        </is>
      </c>
      <c r="E1329" s="6" t="inlineStr">
        <is>
          <t>Approved</t>
        </is>
      </c>
      <c r="F1329" s="12" t="inlineStr">
        <is>
          <t>PASS</t>
        </is>
      </c>
      <c r="G1329" t="inlineStr">
        <is>
          <t>BIM-core.DesignStatus</t>
        </is>
      </c>
      <c r="H1329" s="6" t="n"/>
    </row>
    <row r="1330">
      <c r="A1330" t="inlineStr">
        <is>
          <t>REQ_NCI_CLIENT_PARAMETER_VALUE_SET</t>
        </is>
      </c>
      <c r="B1330" t="inlineStr">
        <is>
          <t>Entity</t>
        </is>
      </c>
      <c r="C1330" t="inlineStr">
        <is>
          <t>EntityCategory</t>
        </is>
      </c>
      <c r="D1330" s="6" t="inlineStr">
        <is>
          <t>Intersection</t>
        </is>
      </c>
      <c r="E1330" s="6" t="inlineStr">
        <is>
          <t>Intersection</t>
        </is>
      </c>
      <c r="F1330" s="12" t="inlineStr">
        <is>
          <t>PASS</t>
        </is>
      </c>
      <c r="G1330" t="inlineStr">
        <is>
          <t>BIM-core.EntityCategory</t>
        </is>
      </c>
      <c r="H1330" s="6" t="n"/>
    </row>
    <row r="1331">
      <c r="A1331" t="inlineStr">
        <is>
          <t>REQ_NCI_CLIENT_PARAMETER_VALUE_SET</t>
        </is>
      </c>
      <c r="B1331" t="inlineStr">
        <is>
          <t>Entity</t>
        </is>
      </c>
      <c r="C1331" t="inlineStr">
        <is>
          <t>EntityPersonalData</t>
        </is>
      </c>
      <c r="D1331" s="6" t="inlineStr">
        <is>
          <t>No Personal Data</t>
        </is>
      </c>
      <c r="E1331" s="6" t="inlineStr">
        <is>
          <t>No Personal Data</t>
        </is>
      </c>
      <c r="F1331" s="12" t="inlineStr">
        <is>
          <t>PASS</t>
        </is>
      </c>
      <c r="G1331" t="inlineStr">
        <is>
          <t>BIM-core.EntityPersonalData</t>
        </is>
      </c>
      <c r="H1331" s="6" t="n"/>
    </row>
    <row r="1332">
      <c r="A1332" t="inlineStr">
        <is>
          <t>REQ_NCI_CLIENT_PARAMETER_VALUE_SET</t>
        </is>
      </c>
      <c r="B1332" t="inlineStr">
        <is>
          <t>Entity</t>
        </is>
      </c>
      <c r="C1332" t="inlineStr">
        <is>
          <t>FinancialPersonalData</t>
        </is>
      </c>
      <c r="D1332" s="6" t="inlineStr">
        <is>
          <t>No Financial Personal Data</t>
        </is>
      </c>
      <c r="E1332" s="6" t="inlineStr">
        <is>
          <t>No Financial Personal Data</t>
        </is>
      </c>
      <c r="F1332" s="12" t="inlineStr">
        <is>
          <t>PASS</t>
        </is>
      </c>
      <c r="G1332" t="inlineStr">
        <is>
          <t>BIM-core.FinancialPersonalData</t>
        </is>
      </c>
      <c r="H1332" s="6" t="n"/>
    </row>
    <row r="1333">
      <c r="A1333" t="inlineStr">
        <is>
          <t>REQ_NCI_CLIENT_PARAMETER_VALUE_SET</t>
        </is>
      </c>
      <c r="B1333" t="inlineStr">
        <is>
          <t>Entity</t>
        </is>
      </c>
      <c r="C1333" t="inlineStr">
        <is>
          <t>MTED_EDaM_Mapping_Note</t>
        </is>
      </c>
      <c r="D1333" s="6" t="inlineStr">
        <is>
          <t>{\rtf1\ansi\ansicpg1252\deff0\nouicompat\deflang2057{\fonttbl{\f0\fnil\fcharset0 Times New Roman;}}</t>
        </is>
      </c>
      <c r="E1333" s="6" t="inlineStr">
        <is>
          <t>{\rtf1\ansi\ansicpg1252\deff0\nouicompat\deflang2057{\fonttbl{\f0\fnil\fcharset0 Times New Roman;}}</t>
        </is>
      </c>
      <c r="F1333" s="12" t="inlineStr">
        <is>
          <t>PASS</t>
        </is>
      </c>
      <c r="G1333" t="inlineStr">
        <is>
          <t>BIM-core.MTED_EDaM_Mapping_Note</t>
        </is>
      </c>
      <c r="H1333" s="6" t="n"/>
    </row>
    <row r="1334">
      <c r="A1334" t="inlineStr">
        <is>
          <t>REQ_NCI_CLIENT_PARAMETER_VALUE_SET</t>
        </is>
      </c>
      <c r="B1334" t="inlineStr">
        <is>
          <t>Entity</t>
        </is>
      </c>
      <c r="C1334" t="inlineStr">
        <is>
          <t>MTED_Encryption_Required</t>
        </is>
      </c>
      <c r="D1334" s="6" t="inlineStr">
        <is>
          <t>false</t>
        </is>
      </c>
      <c r="E1334" s="6" t="inlineStr">
        <is>
          <t>false</t>
        </is>
      </c>
      <c r="F1334" s="12" t="inlineStr">
        <is>
          <t>PASS</t>
        </is>
      </c>
      <c r="G1334" t="inlineStr">
        <is>
          <t>SHL_LDM_EntityPropertyExtension.MTED_Encryption_Required</t>
        </is>
      </c>
      <c r="H1334" s="6" t="n"/>
    </row>
    <row r="1335">
      <c r="A1335" t="inlineStr">
        <is>
          <t>REQ_NCI_CLIENT_PARAMETER_VALUE_SET</t>
        </is>
      </c>
      <c r="B1335" t="inlineStr">
        <is>
          <t>Entity</t>
        </is>
      </c>
      <c r="C1335" t="inlineStr">
        <is>
          <t>MappingLevel</t>
        </is>
      </c>
      <c r="D1335" s="6" t="inlineStr">
        <is>
          <t>Application Specific</t>
        </is>
      </c>
      <c r="E1335" s="6" t="inlineStr">
        <is>
          <t>Application Specific</t>
        </is>
      </c>
      <c r="F1335" s="12" t="inlineStr">
        <is>
          <t>PASS</t>
        </is>
      </c>
      <c r="G1335" t="inlineStr">
        <is>
          <t>BIM-core.MappingLevel</t>
        </is>
      </c>
      <c r="H1335" s="6" t="n"/>
    </row>
    <row r="1336">
      <c r="A1336" t="inlineStr">
        <is>
          <t>REQ_NCI_CLIENT_PARAMETER_VALUE_SET</t>
        </is>
      </c>
      <c r="B1336" t="inlineStr">
        <is>
          <t>Entity</t>
        </is>
      </c>
      <c r="C1336" t="inlineStr">
        <is>
          <t>PD_ObjectID</t>
        </is>
      </c>
      <c r="D1336" s="6" t="inlineStr">
        <is>
          <t>46F9012A-B898-4860-9619-2FBF67AF785D</t>
        </is>
      </c>
      <c r="E1336" s="6" t="inlineStr">
        <is>
          <t>46F9012A-B898-4860-9619-2FBF67AF785D</t>
        </is>
      </c>
      <c r="F1336" s="12" t="inlineStr">
        <is>
          <t>PASS</t>
        </is>
      </c>
      <c r="H1336" s="6" t="n"/>
    </row>
    <row r="1337">
      <c r="A1337" t="inlineStr">
        <is>
          <t>REQ_NCI_CLIENT_PARAMETER_VALUE_SET</t>
        </is>
      </c>
      <c r="B1337" t="inlineStr">
        <is>
          <t>Entity</t>
        </is>
      </c>
      <c r="C1337" t="inlineStr">
        <is>
          <t>PD_SourceExtraction</t>
        </is>
      </c>
      <c r="D1337" s="6" t="inlineStr">
        <is>
          <t>46603045</t>
        </is>
      </c>
      <c r="E1337" s="6" t="inlineStr">
        <is>
          <t>46603045</t>
        </is>
      </c>
      <c r="F1337" s="12" t="inlineStr">
        <is>
          <t>PASS</t>
        </is>
      </c>
      <c r="H1337" s="6" t="n"/>
    </row>
    <row r="1338">
      <c r="A1338" t="inlineStr">
        <is>
          <t>REQ_NCI_CLIENT_PARAMETER_VALUE_SET</t>
        </is>
      </c>
      <c r="B1338" t="inlineStr">
        <is>
          <t>Entity</t>
        </is>
      </c>
      <c r="C1338" t="inlineStr">
        <is>
          <t>PD_SourceModel</t>
        </is>
      </c>
      <c r="D1338" s="6" t="inlineStr">
        <is>
          <t>05_Carbon_Calculator</t>
        </is>
      </c>
      <c r="E1338" s="6" t="inlineStr">
        <is>
          <t>05_Carbon_Calculator</t>
        </is>
      </c>
      <c r="F1338" s="12" t="inlineStr">
        <is>
          <t>PASS</t>
        </is>
      </c>
      <c r="H1338" s="6" t="n"/>
    </row>
    <row r="1339">
      <c r="A1339" t="inlineStr">
        <is>
          <t>REQ_NCI_CLIENT_PARAMETER_VALUE_SET</t>
        </is>
      </c>
      <c r="B1339" t="inlineStr">
        <is>
          <t>Entity</t>
        </is>
      </c>
      <c r="C1339" t="inlineStr">
        <is>
          <t>SensitivePersonalData</t>
        </is>
      </c>
      <c r="D1339" s="6" t="inlineStr">
        <is>
          <t>No Sensitive Personal Data</t>
        </is>
      </c>
      <c r="E1339" s="6" t="inlineStr">
        <is>
          <t>No Sensitive Personal Data</t>
        </is>
      </c>
      <c r="F1339" s="12" t="inlineStr">
        <is>
          <t>PASS</t>
        </is>
      </c>
      <c r="G1339" t="inlineStr">
        <is>
          <t>BIM-core.SensitivePersonalData</t>
        </is>
      </c>
      <c r="H1339" s="6" t="n"/>
    </row>
    <row r="1340">
      <c r="A1340" t="inlineStr">
        <is>
          <t>REQ_NCI_CLIENT_PRODUCT</t>
        </is>
      </c>
      <c r="B1340" t="inlineStr">
        <is>
          <t>Entity</t>
        </is>
      </c>
      <c r="C1340" t="inlineStr">
        <is>
          <t>CommerciallySensitiveInformation</t>
        </is>
      </c>
      <c r="D1340" s="6" t="inlineStr">
        <is>
          <t>No Commercially Sensitive Information</t>
        </is>
      </c>
      <c r="E1340" s="6" t="inlineStr">
        <is>
          <t>No Commercially Sensitive Information</t>
        </is>
      </c>
      <c r="F1340" s="12" t="inlineStr">
        <is>
          <t>PASS</t>
        </is>
      </c>
      <c r="G1340" t="inlineStr">
        <is>
          <t>BIM-core.CommerciallySensitiveInformation</t>
        </is>
      </c>
      <c r="H1340" s="6" t="n"/>
    </row>
    <row r="1341">
      <c r="A1341" t="inlineStr">
        <is>
          <t>REQ_NCI_CLIENT_PRODUCT</t>
        </is>
      </c>
      <c r="B1341" t="inlineStr">
        <is>
          <t>Entity</t>
        </is>
      </c>
      <c r="C1341" t="inlineStr">
        <is>
          <t>Criticality</t>
        </is>
      </c>
      <c r="D1341" s="6" t="inlineStr">
        <is>
          <t>No Critical Data</t>
        </is>
      </c>
      <c r="E1341" s="6" t="inlineStr">
        <is>
          <t>No Critical Data</t>
        </is>
      </c>
      <c r="F1341" s="12" t="inlineStr">
        <is>
          <t>PASS</t>
        </is>
      </c>
      <c r="G1341" t="inlineStr">
        <is>
          <t>BIM-core.Criticality</t>
        </is>
      </c>
      <c r="H1341" s="6" t="n"/>
    </row>
    <row r="1342">
      <c r="A1342" t="inlineStr">
        <is>
          <t>REQ_NCI_CLIENT_PRODUCT</t>
        </is>
      </c>
      <c r="B1342" t="inlineStr">
        <is>
          <t>Entity</t>
        </is>
      </c>
      <c r="C1342" t="inlineStr">
        <is>
          <t>DataCategory</t>
        </is>
      </c>
      <c r="D1342" s="6" t="inlineStr">
        <is>
          <t>Structured</t>
        </is>
      </c>
      <c r="E1342" s="6" t="inlineStr">
        <is>
          <t>Structured</t>
        </is>
      </c>
      <c r="F1342" s="12" t="inlineStr">
        <is>
          <t>PASS</t>
        </is>
      </c>
      <c r="G1342" t="inlineStr">
        <is>
          <t>BIM-core.DataCategory</t>
        </is>
      </c>
      <c r="H1342" s="6" t="n"/>
    </row>
    <row r="1343">
      <c r="A1343" t="inlineStr">
        <is>
          <t>REQ_NCI_CLIENT_PRODUCT</t>
        </is>
      </c>
      <c r="B1343" t="inlineStr">
        <is>
          <t>Entity</t>
        </is>
      </c>
      <c r="C1343" t="inlineStr">
        <is>
          <t>DataConfidentiality</t>
        </is>
      </c>
      <c r="D1343" s="6" t="inlineStr">
        <is>
          <t>Internal</t>
        </is>
      </c>
      <c r="E1343" s="6" t="inlineStr">
        <is>
          <t>Internal</t>
        </is>
      </c>
      <c r="F1343" s="12" t="inlineStr">
        <is>
          <t>PASS</t>
        </is>
      </c>
      <c r="G1343" t="inlineStr">
        <is>
          <t>BIM-core.DataConfidentiality</t>
        </is>
      </c>
      <c r="H1343" s="6" t="n"/>
    </row>
    <row r="1344">
      <c r="A1344" t="inlineStr">
        <is>
          <t>REQ_NCI_CLIENT_PRODUCT</t>
        </is>
      </c>
      <c r="B1344" t="inlineStr">
        <is>
          <t>Entity</t>
        </is>
      </c>
      <c r="C1344" t="inlineStr">
        <is>
          <t>DesignStatus</t>
        </is>
      </c>
      <c r="D1344" s="6" t="inlineStr">
        <is>
          <t>Approved</t>
        </is>
      </c>
      <c r="E1344" s="6" t="inlineStr">
        <is>
          <t>Approved</t>
        </is>
      </c>
      <c r="F1344" s="12" t="inlineStr">
        <is>
          <t>PASS</t>
        </is>
      </c>
      <c r="G1344" t="inlineStr">
        <is>
          <t>BIM-core.DesignStatus</t>
        </is>
      </c>
      <c r="H1344" s="6" t="n"/>
    </row>
    <row r="1345">
      <c r="A1345" t="inlineStr">
        <is>
          <t>REQ_NCI_CLIENT_PRODUCT</t>
        </is>
      </c>
      <c r="B1345" t="inlineStr">
        <is>
          <t>Entity</t>
        </is>
      </c>
      <c r="C1345" t="inlineStr">
        <is>
          <t>EntityCategory</t>
        </is>
      </c>
      <c r="D1345" s="6" t="inlineStr">
        <is>
          <t>Transaction</t>
        </is>
      </c>
      <c r="E1345" s="6" t="inlineStr">
        <is>
          <t>Transaction</t>
        </is>
      </c>
      <c r="F1345" s="12" t="inlineStr">
        <is>
          <t>PASS</t>
        </is>
      </c>
      <c r="G1345" t="inlineStr">
        <is>
          <t>BIM-core.EntityCategory</t>
        </is>
      </c>
      <c r="H1345" s="6" t="n"/>
    </row>
    <row r="1346">
      <c r="A1346" t="inlineStr">
        <is>
          <t>REQ_NCI_CLIENT_PRODUCT</t>
        </is>
      </c>
      <c r="B1346" t="inlineStr">
        <is>
          <t>Entity</t>
        </is>
      </c>
      <c r="C1346" t="inlineStr">
        <is>
          <t>EntityPersonalData</t>
        </is>
      </c>
      <c r="D1346" s="6" t="inlineStr">
        <is>
          <t>No Personal Data</t>
        </is>
      </c>
      <c r="E1346" s="6" t="inlineStr">
        <is>
          <t>No Personal Data</t>
        </is>
      </c>
      <c r="F1346" s="12" t="inlineStr">
        <is>
          <t>PASS</t>
        </is>
      </c>
      <c r="G1346" t="inlineStr">
        <is>
          <t>BIM-core.EntityPersonalData</t>
        </is>
      </c>
      <c r="H1346" s="6" t="n"/>
    </row>
    <row r="1347">
      <c r="A1347" t="inlineStr">
        <is>
          <t>REQ_NCI_CLIENT_PRODUCT</t>
        </is>
      </c>
      <c r="B1347" t="inlineStr">
        <is>
          <t>Entity</t>
        </is>
      </c>
      <c r="C1347" t="inlineStr">
        <is>
          <t>FinancialPersonalData</t>
        </is>
      </c>
      <c r="D1347" s="6" t="inlineStr">
        <is>
          <t>No Financial Personal Data</t>
        </is>
      </c>
      <c r="E1347" s="6" t="inlineStr">
        <is>
          <t>No Financial Personal Data</t>
        </is>
      </c>
      <c r="F1347" s="12" t="inlineStr">
        <is>
          <t>PASS</t>
        </is>
      </c>
      <c r="G1347" t="inlineStr">
        <is>
          <t>BIM-core.FinancialPersonalData</t>
        </is>
      </c>
      <c r="H1347" s="6" t="n"/>
    </row>
    <row r="1348">
      <c r="A1348" t="inlineStr">
        <is>
          <t>REQ_NCI_CLIENT_PRODUCT</t>
        </is>
      </c>
      <c r="B1348" t="inlineStr">
        <is>
          <t>Entity</t>
        </is>
      </c>
      <c r="C1348" t="inlineStr">
        <is>
          <t>MTED_EDaM_Mapping_Note</t>
        </is>
      </c>
      <c r="D1348" s="6" t="inlineStr">
        <is>
          <t>{\rtf1\ansi\ansicpg1252\deff0\nouicompat\deflang2057{\fonttbl{\f0\fnil\fcharset0 Times New Roman;}}</t>
        </is>
      </c>
      <c r="E1348" s="6" t="inlineStr">
        <is>
          <t>{\rtf1\ansi\ansicpg1252\deff0\nouicompat\deflang2057{\fonttbl{\f0\fnil\fcharset0 Times New Roman;}}</t>
        </is>
      </c>
      <c r="F1348" s="12" t="inlineStr">
        <is>
          <t>PASS</t>
        </is>
      </c>
      <c r="G1348" t="inlineStr">
        <is>
          <t>BIM-core.MTED_EDaM_Mapping_Note</t>
        </is>
      </c>
      <c r="H1348" s="6" t="n"/>
    </row>
    <row r="1349">
      <c r="A1349" t="inlineStr">
        <is>
          <t>REQ_NCI_CLIENT_PRODUCT</t>
        </is>
      </c>
      <c r="B1349" t="inlineStr">
        <is>
          <t>Entity</t>
        </is>
      </c>
      <c r="C1349" t="inlineStr">
        <is>
          <t>MappingLevel</t>
        </is>
      </c>
      <c r="D1349" s="6" t="inlineStr">
        <is>
          <t>Application Specific</t>
        </is>
      </c>
      <c r="E1349" s="6" t="inlineStr">
        <is>
          <t>Application Specific</t>
        </is>
      </c>
      <c r="F1349" s="12" t="inlineStr">
        <is>
          <t>PASS</t>
        </is>
      </c>
      <c r="G1349" t="inlineStr">
        <is>
          <t>BIM-core.MappingLevel</t>
        </is>
      </c>
      <c r="H1349" s="6" t="n"/>
    </row>
    <row r="1350">
      <c r="A1350" t="inlineStr">
        <is>
          <t>REQ_NCI_CLIENT_PRODUCT</t>
        </is>
      </c>
      <c r="B1350" t="inlineStr">
        <is>
          <t>Entity</t>
        </is>
      </c>
      <c r="C1350" t="inlineStr">
        <is>
          <t>PD_ObjectID</t>
        </is>
      </c>
      <c r="D1350" s="6" t="inlineStr">
        <is>
          <t>71912D64-9057-4D6B-B376-87B8A24E49C6</t>
        </is>
      </c>
      <c r="E1350" s="6" t="inlineStr">
        <is>
          <t>71912D64-9057-4D6B-B376-87B8A24E49C6</t>
        </is>
      </c>
      <c r="F1350" s="12" t="inlineStr">
        <is>
          <t>PASS</t>
        </is>
      </c>
      <c r="H1350" s="6" t="n"/>
    </row>
    <row r="1351">
      <c r="A1351" t="inlineStr">
        <is>
          <t>REQ_NCI_CLIENT_PRODUCT</t>
        </is>
      </c>
      <c r="B1351" t="inlineStr">
        <is>
          <t>Entity</t>
        </is>
      </c>
      <c r="C1351" t="inlineStr">
        <is>
          <t>PD_SourceExtraction</t>
        </is>
      </c>
      <c r="D1351" s="6" t="inlineStr">
        <is>
          <t>46603045</t>
        </is>
      </c>
      <c r="E1351" s="6" t="inlineStr">
        <is>
          <t>46603045</t>
        </is>
      </c>
      <c r="F1351" s="12" t="inlineStr">
        <is>
          <t>PASS</t>
        </is>
      </c>
      <c r="H1351" s="6" t="n"/>
    </row>
    <row r="1352">
      <c r="A1352" t="inlineStr">
        <is>
          <t>REQ_NCI_CLIENT_PRODUCT</t>
        </is>
      </c>
      <c r="B1352" t="inlineStr">
        <is>
          <t>Entity</t>
        </is>
      </c>
      <c r="C1352" t="inlineStr">
        <is>
          <t>PD_SourceModel</t>
        </is>
      </c>
      <c r="D1352" s="6" t="inlineStr">
        <is>
          <t>05_Carbon_Calculator</t>
        </is>
      </c>
      <c r="E1352" s="6" t="inlineStr">
        <is>
          <t>05_Carbon_Calculator</t>
        </is>
      </c>
      <c r="F1352" s="12" t="inlineStr">
        <is>
          <t>PASS</t>
        </is>
      </c>
      <c r="H1352" s="6" t="n"/>
    </row>
    <row r="1353">
      <c r="A1353" t="inlineStr">
        <is>
          <t>REQ_NCI_CLIENT_PRODUCT</t>
        </is>
      </c>
      <c r="B1353" t="inlineStr">
        <is>
          <t>Entity</t>
        </is>
      </c>
      <c r="C1353" t="inlineStr">
        <is>
          <t>SensitivePersonalData</t>
        </is>
      </c>
      <c r="D1353" s="6" t="inlineStr">
        <is>
          <t>No Sensitive Personal Data</t>
        </is>
      </c>
      <c r="E1353" s="6" t="inlineStr">
        <is>
          <t>No Sensitive Personal Data</t>
        </is>
      </c>
      <c r="F1353" s="12" t="inlineStr">
        <is>
          <t>PASS</t>
        </is>
      </c>
      <c r="G1353" t="inlineStr">
        <is>
          <t>BIM-core.SensitivePersonalData</t>
        </is>
      </c>
      <c r="H1353" s="6" t="n"/>
    </row>
    <row r="1354">
      <c r="A1354" t="inlineStr">
        <is>
          <t>REQ_NCI_CLIENT_PRODUCT_FACTOR</t>
        </is>
      </c>
      <c r="B1354" t="inlineStr">
        <is>
          <t>Entity</t>
        </is>
      </c>
      <c r="C1354" t="inlineStr">
        <is>
          <t>CSI</t>
        </is>
      </c>
      <c r="D1354" s="6" t="inlineStr">
        <is>
          <t>false</t>
        </is>
      </c>
      <c r="E1354" s="6" t="inlineStr">
        <is>
          <t>false</t>
        </is>
      </c>
      <c r="F1354" s="12" t="inlineStr">
        <is>
          <t>PASS</t>
        </is>
      </c>
      <c r="G1354" t="inlineStr">
        <is>
          <t>SHL_LDM_EntityPropertyExtension.CSI</t>
        </is>
      </c>
      <c r="H1354" s="6" t="n"/>
    </row>
    <row r="1355">
      <c r="A1355" t="inlineStr">
        <is>
          <t>REQ_NCI_CLIENT_PRODUCT_FACTOR</t>
        </is>
      </c>
      <c r="B1355" t="inlineStr">
        <is>
          <t>Entity</t>
        </is>
      </c>
      <c r="C1355" t="inlineStr">
        <is>
          <t>CommerciallySensitiveInformation</t>
        </is>
      </c>
      <c r="D1355" s="6" t="inlineStr">
        <is>
          <t>No Commercially Sensitive Information</t>
        </is>
      </c>
      <c r="E1355" s="6" t="inlineStr">
        <is>
          <t>No Commercially Sensitive Information</t>
        </is>
      </c>
      <c r="F1355" s="12" t="inlineStr">
        <is>
          <t>PASS</t>
        </is>
      </c>
      <c r="G1355" t="inlineStr">
        <is>
          <t>BIM-core.CommerciallySensitiveInformation</t>
        </is>
      </c>
      <c r="H1355" s="6" t="n"/>
    </row>
    <row r="1356">
      <c r="A1356" t="inlineStr">
        <is>
          <t>REQ_NCI_CLIENT_PRODUCT_FACTOR</t>
        </is>
      </c>
      <c r="B1356" t="inlineStr">
        <is>
          <t>Entity</t>
        </is>
      </c>
      <c r="C1356" t="inlineStr">
        <is>
          <t>Criticality</t>
        </is>
      </c>
      <c r="D1356" s="6" t="inlineStr">
        <is>
          <t>No Critical Data</t>
        </is>
      </c>
      <c r="E1356" s="6" t="inlineStr">
        <is>
          <t>No Critical Data</t>
        </is>
      </c>
      <c r="F1356" s="12" t="inlineStr">
        <is>
          <t>PASS</t>
        </is>
      </c>
      <c r="G1356" t="inlineStr">
        <is>
          <t>BIM-core.Criticality</t>
        </is>
      </c>
      <c r="H1356" s="6" t="n"/>
    </row>
    <row r="1357">
      <c r="A1357" t="inlineStr">
        <is>
          <t>REQ_NCI_CLIENT_PRODUCT_FACTOR</t>
        </is>
      </c>
      <c r="B1357" t="inlineStr">
        <is>
          <t>Entity</t>
        </is>
      </c>
      <c r="C1357" t="inlineStr">
        <is>
          <t>DataCategory</t>
        </is>
      </c>
      <c r="D1357" s="6" t="inlineStr">
        <is>
          <t>Structured</t>
        </is>
      </c>
      <c r="E1357" s="6" t="inlineStr">
        <is>
          <t>Structured</t>
        </is>
      </c>
      <c r="F1357" s="12" t="inlineStr">
        <is>
          <t>PASS</t>
        </is>
      </c>
      <c r="G1357" t="inlineStr">
        <is>
          <t>BIM-core.DataCategory</t>
        </is>
      </c>
      <c r="H1357" s="6" t="n"/>
    </row>
    <row r="1358">
      <c r="A1358" t="inlineStr">
        <is>
          <t>REQ_NCI_CLIENT_PRODUCT_FACTOR</t>
        </is>
      </c>
      <c r="B1358" t="inlineStr">
        <is>
          <t>Entity</t>
        </is>
      </c>
      <c r="C1358" t="inlineStr">
        <is>
          <t>DataConfidentiality</t>
        </is>
      </c>
      <c r="D1358" s="6" t="inlineStr">
        <is>
          <t>Internal</t>
        </is>
      </c>
      <c r="E1358" s="6" t="inlineStr">
        <is>
          <t>Internal</t>
        </is>
      </c>
      <c r="F1358" s="12" t="inlineStr">
        <is>
          <t>PASS</t>
        </is>
      </c>
      <c r="G1358" t="inlineStr">
        <is>
          <t>BIM-core.DataConfidentiality</t>
        </is>
      </c>
      <c r="H1358" s="6" t="n"/>
    </row>
    <row r="1359">
      <c r="A1359" t="inlineStr">
        <is>
          <t>REQ_NCI_CLIENT_PRODUCT_FACTOR</t>
        </is>
      </c>
      <c r="B1359" t="inlineStr">
        <is>
          <t>Entity</t>
        </is>
      </c>
      <c r="C1359" t="inlineStr">
        <is>
          <t>DesignStatus</t>
        </is>
      </c>
      <c r="D1359" s="6" t="inlineStr">
        <is>
          <t>Approved</t>
        </is>
      </c>
      <c r="E1359" s="6" t="inlineStr">
        <is>
          <t>Approved</t>
        </is>
      </c>
      <c r="F1359" s="12" t="inlineStr">
        <is>
          <t>PASS</t>
        </is>
      </c>
      <c r="G1359" t="inlineStr">
        <is>
          <t>BIM-core.DesignStatus</t>
        </is>
      </c>
      <c r="H1359" s="6" t="n"/>
    </row>
    <row r="1360">
      <c r="A1360" t="inlineStr">
        <is>
          <t>REQ_NCI_CLIENT_PRODUCT_FACTOR</t>
        </is>
      </c>
      <c r="B1360" t="inlineStr">
        <is>
          <t>Entity</t>
        </is>
      </c>
      <c r="C1360" t="inlineStr">
        <is>
          <t>EntityCategory</t>
        </is>
      </c>
      <c r="D1360" s="6" t="inlineStr">
        <is>
          <t>Transaction</t>
        </is>
      </c>
      <c r="E1360" s="6" t="inlineStr">
        <is>
          <t>Transaction</t>
        </is>
      </c>
      <c r="F1360" s="12" t="inlineStr">
        <is>
          <t>PASS</t>
        </is>
      </c>
      <c r="G1360" t="inlineStr">
        <is>
          <t>BIM-core.EntityCategory</t>
        </is>
      </c>
      <c r="H1360" s="6" t="n"/>
    </row>
    <row r="1361">
      <c r="A1361" t="inlineStr">
        <is>
          <t>REQ_NCI_CLIENT_PRODUCT_FACTOR</t>
        </is>
      </c>
      <c r="B1361" t="inlineStr">
        <is>
          <t>Entity</t>
        </is>
      </c>
      <c r="C1361" t="inlineStr">
        <is>
          <t>EntityPersonalData</t>
        </is>
      </c>
      <c r="D1361" s="6" t="inlineStr">
        <is>
          <t>No Personal Data</t>
        </is>
      </c>
      <c r="E1361" s="6" t="inlineStr">
        <is>
          <t>No Personal Data</t>
        </is>
      </c>
      <c r="F1361" s="12" t="inlineStr">
        <is>
          <t>PASS</t>
        </is>
      </c>
      <c r="G1361" t="inlineStr">
        <is>
          <t>BIM-core.EntityPersonalData</t>
        </is>
      </c>
      <c r="H1361" s="6" t="n"/>
    </row>
    <row r="1362">
      <c r="A1362" t="inlineStr">
        <is>
          <t>REQ_NCI_CLIENT_PRODUCT_FACTOR</t>
        </is>
      </c>
      <c r="B1362" t="inlineStr">
        <is>
          <t>Entity</t>
        </is>
      </c>
      <c r="C1362" t="inlineStr">
        <is>
          <t>FinancialPersonalData</t>
        </is>
      </c>
      <c r="D1362" s="6" t="inlineStr">
        <is>
          <t>No Financial Personal Data</t>
        </is>
      </c>
      <c r="E1362" s="6" t="inlineStr">
        <is>
          <t>No Financial Personal Data</t>
        </is>
      </c>
      <c r="F1362" s="12" t="inlineStr">
        <is>
          <t>PASS</t>
        </is>
      </c>
      <c r="G1362" t="inlineStr">
        <is>
          <t>BIM-core.FinancialPersonalData</t>
        </is>
      </c>
      <c r="H1362" s="6" t="n"/>
    </row>
    <row r="1363">
      <c r="A1363" t="inlineStr">
        <is>
          <t>REQ_NCI_CLIENT_PRODUCT_FACTOR</t>
        </is>
      </c>
      <c r="B1363" t="inlineStr">
        <is>
          <t>Entity</t>
        </is>
      </c>
      <c r="C1363" t="inlineStr">
        <is>
          <t>MTED_EDaM_Mapping_Note</t>
        </is>
      </c>
      <c r="D1363" s="6" t="inlineStr">
        <is>
          <t>{\rtf1\ansi\ansicpg1252\deff0\nouicompat\deflang2057{\fonttbl{\f0\fnil\fcharset0 Times New Roman;}}</t>
        </is>
      </c>
      <c r="E1363" s="6" t="inlineStr">
        <is>
          <t>{\rtf1\ansi\ansicpg1252\deff0\nouicompat\deflang2057{\fonttbl{\f0\fnil\fcharset0 Times New Roman;}}</t>
        </is>
      </c>
      <c r="F1363" s="12" t="inlineStr">
        <is>
          <t>PASS</t>
        </is>
      </c>
      <c r="G1363" t="inlineStr">
        <is>
          <t>BIM-core.MTED_EDaM_Mapping_Note</t>
        </is>
      </c>
      <c r="H1363" s="6" t="n"/>
    </row>
    <row r="1364">
      <c r="A1364" t="inlineStr">
        <is>
          <t>REQ_NCI_CLIENT_PRODUCT_FACTOR</t>
        </is>
      </c>
      <c r="B1364" t="inlineStr">
        <is>
          <t>Entity</t>
        </is>
      </c>
      <c r="C1364" t="inlineStr">
        <is>
          <t>MTED_Encryption_Required</t>
        </is>
      </c>
      <c r="D1364" s="6" t="inlineStr">
        <is>
          <t>false</t>
        </is>
      </c>
      <c r="E1364" s="6" t="inlineStr">
        <is>
          <t>false</t>
        </is>
      </c>
      <c r="F1364" s="12" t="inlineStr">
        <is>
          <t>PASS</t>
        </is>
      </c>
      <c r="G1364" t="inlineStr">
        <is>
          <t>SHL_LDM_EntityPropertyExtension.MTED_Encryption_Required</t>
        </is>
      </c>
      <c r="H1364" s="6" t="n"/>
    </row>
    <row r="1365">
      <c r="A1365" t="inlineStr">
        <is>
          <t>REQ_NCI_CLIENT_PRODUCT_FACTOR</t>
        </is>
      </c>
      <c r="B1365" t="inlineStr">
        <is>
          <t>Entity</t>
        </is>
      </c>
      <c r="C1365" t="inlineStr">
        <is>
          <t>MappingLevel</t>
        </is>
      </c>
      <c r="D1365" s="6" t="inlineStr">
        <is>
          <t>Application Specific</t>
        </is>
      </c>
      <c r="E1365" s="6" t="inlineStr">
        <is>
          <t>Application Specific</t>
        </is>
      </c>
      <c r="F1365" s="12" t="inlineStr">
        <is>
          <t>PASS</t>
        </is>
      </c>
      <c r="G1365" t="inlineStr">
        <is>
          <t>BIM-core.MappingLevel</t>
        </is>
      </c>
      <c r="H1365" s="6" t="n"/>
    </row>
    <row r="1366">
      <c r="A1366" t="inlineStr">
        <is>
          <t>REQ_NCI_CLIENT_PRODUCT_FACTOR</t>
        </is>
      </c>
      <c r="B1366" t="inlineStr">
        <is>
          <t>Entity</t>
        </is>
      </c>
      <c r="C1366" t="inlineStr">
        <is>
          <t>PD_ObjectID</t>
        </is>
      </c>
      <c r="D1366" s="6" t="inlineStr">
        <is>
          <t>0AFA0A56-3DCD-4C1F-95AE-01753BF2854D</t>
        </is>
      </c>
      <c r="E1366" s="6" t="inlineStr">
        <is>
          <t>0AFA0A56-3DCD-4C1F-95AE-01753BF2854D</t>
        </is>
      </c>
      <c r="F1366" s="12" t="inlineStr">
        <is>
          <t>PASS</t>
        </is>
      </c>
      <c r="H1366" s="6" t="n"/>
    </row>
    <row r="1367">
      <c r="A1367" t="inlineStr">
        <is>
          <t>REQ_NCI_CLIENT_PRODUCT_FACTOR</t>
        </is>
      </c>
      <c r="B1367" t="inlineStr">
        <is>
          <t>Entity</t>
        </is>
      </c>
      <c r="C1367" t="inlineStr">
        <is>
          <t>PD_SourceExtraction</t>
        </is>
      </c>
      <c r="D1367" s="6" t="inlineStr">
        <is>
          <t>46603045</t>
        </is>
      </c>
      <c r="E1367" s="6" t="inlineStr">
        <is>
          <t>46603045</t>
        </is>
      </c>
      <c r="F1367" s="12" t="inlineStr">
        <is>
          <t>PASS</t>
        </is>
      </c>
      <c r="H1367" s="6" t="n"/>
    </row>
    <row r="1368">
      <c r="A1368" t="inlineStr">
        <is>
          <t>REQ_NCI_CLIENT_PRODUCT_FACTOR</t>
        </is>
      </c>
      <c r="B1368" t="inlineStr">
        <is>
          <t>Entity</t>
        </is>
      </c>
      <c r="C1368" t="inlineStr">
        <is>
          <t>PD_SourceModel</t>
        </is>
      </c>
      <c r="D1368" s="6" t="inlineStr">
        <is>
          <t>05_Carbon_Calculator</t>
        </is>
      </c>
      <c r="E1368" s="6" t="inlineStr">
        <is>
          <t>05_Carbon_Calculator</t>
        </is>
      </c>
      <c r="F1368" s="12" t="inlineStr">
        <is>
          <t>PASS</t>
        </is>
      </c>
      <c r="H1368" s="6" t="n"/>
    </row>
    <row r="1369">
      <c r="A1369" t="inlineStr">
        <is>
          <t>REQ_NCI_CLIENT_PRODUCT_FACTOR</t>
        </is>
      </c>
      <c r="B1369" t="inlineStr">
        <is>
          <t>Entity</t>
        </is>
      </c>
      <c r="C1369" t="inlineStr">
        <is>
          <t>SensitivePersonalData</t>
        </is>
      </c>
      <c r="D1369" s="6" t="inlineStr">
        <is>
          <t>No Sensitive Personal Data</t>
        </is>
      </c>
      <c r="E1369" s="6" t="inlineStr">
        <is>
          <t>No Sensitive Personal Data</t>
        </is>
      </c>
      <c r="F1369" s="12" t="inlineStr">
        <is>
          <t>PASS</t>
        </is>
      </c>
      <c r="G1369" t="inlineStr">
        <is>
          <t>BIM-core.SensitivePersonalData</t>
        </is>
      </c>
      <c r="H1369" s="6" t="n"/>
    </row>
    <row r="1370">
      <c r="A1370" t="inlineStr">
        <is>
          <t>REQ_NCI_CLIENT_PRODUCT_TYPE</t>
        </is>
      </c>
      <c r="B1370" t="inlineStr">
        <is>
          <t>Entity</t>
        </is>
      </c>
      <c r="C1370" t="inlineStr">
        <is>
          <t>CSI</t>
        </is>
      </c>
      <c r="D1370" s="6" t="inlineStr">
        <is>
          <t>false</t>
        </is>
      </c>
      <c r="E1370" s="6" t="inlineStr">
        <is>
          <t>false</t>
        </is>
      </c>
      <c r="F1370" s="12" t="inlineStr">
        <is>
          <t>PASS</t>
        </is>
      </c>
      <c r="G1370" t="inlineStr">
        <is>
          <t>SHL_LDM_EntityPropertyExtension.CSI</t>
        </is>
      </c>
      <c r="H1370" s="6" t="n"/>
    </row>
    <row r="1371">
      <c r="A1371" t="inlineStr">
        <is>
          <t>REQ_NCI_CLIENT_PRODUCT_TYPE</t>
        </is>
      </c>
      <c r="B1371" t="inlineStr">
        <is>
          <t>Entity</t>
        </is>
      </c>
      <c r="C1371" t="inlineStr">
        <is>
          <t>CommerciallySensitiveInformation</t>
        </is>
      </c>
      <c r="D1371" s="6" t="inlineStr">
        <is>
          <t>No Commercially Sensitive Information</t>
        </is>
      </c>
      <c r="E1371" s="6" t="inlineStr">
        <is>
          <t>No Commercially Sensitive Information</t>
        </is>
      </c>
      <c r="F1371" s="12" t="inlineStr">
        <is>
          <t>PASS</t>
        </is>
      </c>
      <c r="G1371" t="inlineStr">
        <is>
          <t>BIM-core.CommerciallySensitiveInformation</t>
        </is>
      </c>
      <c r="H1371" s="6" t="n"/>
    </row>
    <row r="1372">
      <c r="A1372" t="inlineStr">
        <is>
          <t>REQ_NCI_CLIENT_PRODUCT_TYPE</t>
        </is>
      </c>
      <c r="B1372" t="inlineStr">
        <is>
          <t>Entity</t>
        </is>
      </c>
      <c r="C1372" t="inlineStr">
        <is>
          <t>Criticality</t>
        </is>
      </c>
      <c r="D1372" s="6" t="inlineStr">
        <is>
          <t>No Critical Data</t>
        </is>
      </c>
      <c r="E1372" s="6" t="inlineStr">
        <is>
          <t>No Critical Data</t>
        </is>
      </c>
      <c r="F1372" s="12" t="inlineStr">
        <is>
          <t>PASS</t>
        </is>
      </c>
      <c r="G1372" t="inlineStr">
        <is>
          <t>BIM-core.Criticality</t>
        </is>
      </c>
      <c r="H1372" s="6" t="n"/>
    </row>
    <row r="1373">
      <c r="A1373" t="inlineStr">
        <is>
          <t>REQ_NCI_CLIENT_PRODUCT_TYPE</t>
        </is>
      </c>
      <c r="B1373" t="inlineStr">
        <is>
          <t>Entity</t>
        </is>
      </c>
      <c r="C1373" t="inlineStr">
        <is>
          <t>DataCategory</t>
        </is>
      </c>
      <c r="D1373" s="6" t="inlineStr">
        <is>
          <t>Structured</t>
        </is>
      </c>
      <c r="E1373" s="6" t="inlineStr">
        <is>
          <t>Structured</t>
        </is>
      </c>
      <c r="F1373" s="12" t="inlineStr">
        <is>
          <t>PASS</t>
        </is>
      </c>
      <c r="G1373" t="inlineStr">
        <is>
          <t>BIM-core.DataCategory</t>
        </is>
      </c>
      <c r="H1373" s="6" t="n"/>
    </row>
    <row r="1374">
      <c r="A1374" t="inlineStr">
        <is>
          <t>REQ_NCI_CLIENT_PRODUCT_TYPE</t>
        </is>
      </c>
      <c r="B1374" t="inlineStr">
        <is>
          <t>Entity</t>
        </is>
      </c>
      <c r="C1374" t="inlineStr">
        <is>
          <t>DataConfidentiality</t>
        </is>
      </c>
      <c r="D1374" s="6" t="inlineStr">
        <is>
          <t>Internal</t>
        </is>
      </c>
      <c r="E1374" s="6" t="inlineStr">
        <is>
          <t>Internal</t>
        </is>
      </c>
      <c r="F1374" s="12" t="inlineStr">
        <is>
          <t>PASS</t>
        </is>
      </c>
      <c r="G1374" t="inlineStr">
        <is>
          <t>BIM-core.DataConfidentiality</t>
        </is>
      </c>
      <c r="H1374" s="6" t="n"/>
    </row>
    <row r="1375">
      <c r="A1375" t="inlineStr">
        <is>
          <t>REQ_NCI_CLIENT_PRODUCT_TYPE</t>
        </is>
      </c>
      <c r="B1375" t="inlineStr">
        <is>
          <t>Entity</t>
        </is>
      </c>
      <c r="C1375" t="inlineStr">
        <is>
          <t>DesignStatus</t>
        </is>
      </c>
      <c r="D1375" s="6" t="inlineStr">
        <is>
          <t>Approved</t>
        </is>
      </c>
      <c r="E1375" s="6" t="inlineStr">
        <is>
          <t>Approved</t>
        </is>
      </c>
      <c r="F1375" s="12" t="inlineStr">
        <is>
          <t>PASS</t>
        </is>
      </c>
      <c r="G1375" t="inlineStr">
        <is>
          <t>BIM-core.DesignStatus</t>
        </is>
      </c>
      <c r="H1375" s="6" t="n"/>
    </row>
    <row r="1376">
      <c r="A1376" t="inlineStr">
        <is>
          <t>REQ_NCI_CLIENT_PRODUCT_TYPE</t>
        </is>
      </c>
      <c r="B1376" t="inlineStr">
        <is>
          <t>Entity</t>
        </is>
      </c>
      <c r="C1376" t="inlineStr">
        <is>
          <t>EntityCategory</t>
        </is>
      </c>
      <c r="D1376" s="6" t="inlineStr">
        <is>
          <t>Intersection</t>
        </is>
      </c>
      <c r="E1376" s="6" t="inlineStr">
        <is>
          <t>Intersection</t>
        </is>
      </c>
      <c r="F1376" s="12" t="inlineStr">
        <is>
          <t>PASS</t>
        </is>
      </c>
      <c r="G1376" t="inlineStr">
        <is>
          <t>BIM-core.EntityCategory</t>
        </is>
      </c>
      <c r="H1376" s="6" t="n"/>
    </row>
    <row r="1377">
      <c r="A1377" t="inlineStr">
        <is>
          <t>REQ_NCI_CLIENT_PRODUCT_TYPE</t>
        </is>
      </c>
      <c r="B1377" t="inlineStr">
        <is>
          <t>Entity</t>
        </is>
      </c>
      <c r="C1377" t="inlineStr">
        <is>
          <t>EntityPersonalData</t>
        </is>
      </c>
      <c r="D1377" s="6" t="inlineStr">
        <is>
          <t>No Personal Data</t>
        </is>
      </c>
      <c r="E1377" s="6" t="inlineStr">
        <is>
          <t>No Personal Data</t>
        </is>
      </c>
      <c r="F1377" s="12" t="inlineStr">
        <is>
          <t>PASS</t>
        </is>
      </c>
      <c r="G1377" t="inlineStr">
        <is>
          <t>BIM-core.EntityPersonalData</t>
        </is>
      </c>
      <c r="H1377" s="6" t="n"/>
    </row>
    <row r="1378">
      <c r="A1378" t="inlineStr">
        <is>
          <t>REQ_NCI_CLIENT_PRODUCT_TYPE</t>
        </is>
      </c>
      <c r="B1378" t="inlineStr">
        <is>
          <t>Entity</t>
        </is>
      </c>
      <c r="C1378" t="inlineStr">
        <is>
          <t>FinancialPersonalData</t>
        </is>
      </c>
      <c r="D1378" s="6" t="inlineStr">
        <is>
          <t>No Financial Personal Data</t>
        </is>
      </c>
      <c r="E1378" s="6" t="inlineStr">
        <is>
          <t>No Financial Personal Data</t>
        </is>
      </c>
      <c r="F1378" s="12" t="inlineStr">
        <is>
          <t>PASS</t>
        </is>
      </c>
      <c r="G1378" t="inlineStr">
        <is>
          <t>BIM-core.FinancialPersonalData</t>
        </is>
      </c>
      <c r="H1378" s="6" t="n"/>
    </row>
    <row r="1379">
      <c r="A1379" t="inlineStr">
        <is>
          <t>REQ_NCI_CLIENT_PRODUCT_TYPE</t>
        </is>
      </c>
      <c r="B1379" t="inlineStr">
        <is>
          <t>Entity</t>
        </is>
      </c>
      <c r="C1379" t="inlineStr">
        <is>
          <t>MTED_EDaM_Mapping_Note</t>
        </is>
      </c>
      <c r="D1379" s="6" t="inlineStr">
        <is>
          <t>{\rtf1\ansi\ansicpg1252\deff0\nouicompat\deflang2057{\fonttbl{\f0\fnil\fcharset0 Times New Roman;}}</t>
        </is>
      </c>
      <c r="E1379" s="6" t="inlineStr">
        <is>
          <t>{\rtf1\ansi\ansicpg1252\deff0\nouicompat\deflang2057{\fonttbl{\f0\fnil\fcharset0 Times New Roman;}}</t>
        </is>
      </c>
      <c r="F1379" s="12" t="inlineStr">
        <is>
          <t>PASS</t>
        </is>
      </c>
      <c r="G1379" t="inlineStr">
        <is>
          <t>BIM-core.MTED_EDaM_Mapping_Note</t>
        </is>
      </c>
      <c r="H1379" s="6" t="n"/>
    </row>
    <row r="1380">
      <c r="A1380" t="inlineStr">
        <is>
          <t>REQ_NCI_CLIENT_PRODUCT_TYPE</t>
        </is>
      </c>
      <c r="B1380" t="inlineStr">
        <is>
          <t>Entity</t>
        </is>
      </c>
      <c r="C1380" t="inlineStr">
        <is>
          <t>MTED_Encryption_Required</t>
        </is>
      </c>
      <c r="D1380" s="6" t="inlineStr">
        <is>
          <t>false</t>
        </is>
      </c>
      <c r="E1380" s="6" t="inlineStr">
        <is>
          <t>false</t>
        </is>
      </c>
      <c r="F1380" s="12" t="inlineStr">
        <is>
          <t>PASS</t>
        </is>
      </c>
      <c r="G1380" t="inlineStr">
        <is>
          <t>SHL_LDM_EntityPropertyExtension.MTED_Encryption_Required</t>
        </is>
      </c>
      <c r="H1380" s="6" t="n"/>
    </row>
    <row r="1381">
      <c r="A1381" t="inlineStr">
        <is>
          <t>REQ_NCI_CLIENT_PRODUCT_TYPE</t>
        </is>
      </c>
      <c r="B1381" t="inlineStr">
        <is>
          <t>Entity</t>
        </is>
      </c>
      <c r="C1381" t="inlineStr">
        <is>
          <t>MappingLevel</t>
        </is>
      </c>
      <c r="D1381" s="6" t="inlineStr">
        <is>
          <t>Application Specific</t>
        </is>
      </c>
      <c r="E1381" s="6" t="inlineStr">
        <is>
          <t>Application Specific</t>
        </is>
      </c>
      <c r="F1381" s="12" t="inlineStr">
        <is>
          <t>PASS</t>
        </is>
      </c>
      <c r="G1381" t="inlineStr">
        <is>
          <t>BIM-core.MappingLevel</t>
        </is>
      </c>
      <c r="H1381" s="6" t="n"/>
    </row>
    <row r="1382">
      <c r="A1382" t="inlineStr">
        <is>
          <t>REQ_NCI_CLIENT_PRODUCT_TYPE</t>
        </is>
      </c>
      <c r="B1382" t="inlineStr">
        <is>
          <t>Entity</t>
        </is>
      </c>
      <c r="C1382" t="inlineStr">
        <is>
          <t>PD_ObjectID</t>
        </is>
      </c>
      <c r="D1382" s="6" t="inlineStr">
        <is>
          <t>D22074AC-03F0-44A4-A4D6-1124EF8AA1B7</t>
        </is>
      </c>
      <c r="E1382" s="6" t="inlineStr">
        <is>
          <t>D22074AC-03F0-44A4-A4D6-1124EF8AA1B7</t>
        </is>
      </c>
      <c r="F1382" s="12" t="inlineStr">
        <is>
          <t>PASS</t>
        </is>
      </c>
      <c r="H1382" s="6" t="n"/>
    </row>
    <row r="1383">
      <c r="A1383" t="inlineStr">
        <is>
          <t>REQ_NCI_CLIENT_PRODUCT_TYPE</t>
        </is>
      </c>
      <c r="B1383" t="inlineStr">
        <is>
          <t>Entity</t>
        </is>
      </c>
      <c r="C1383" t="inlineStr">
        <is>
          <t>PD_SourceExtraction</t>
        </is>
      </c>
      <c r="D1383" s="6" t="inlineStr">
        <is>
          <t>46603045</t>
        </is>
      </c>
      <c r="E1383" s="6" t="inlineStr">
        <is>
          <t>46603045</t>
        </is>
      </c>
      <c r="F1383" s="12" t="inlineStr">
        <is>
          <t>PASS</t>
        </is>
      </c>
      <c r="H1383" s="6" t="n"/>
    </row>
    <row r="1384">
      <c r="A1384" t="inlineStr">
        <is>
          <t>REQ_NCI_CLIENT_PRODUCT_TYPE</t>
        </is>
      </c>
      <c r="B1384" t="inlineStr">
        <is>
          <t>Entity</t>
        </is>
      </c>
      <c r="C1384" t="inlineStr">
        <is>
          <t>PD_SourceModel</t>
        </is>
      </c>
      <c r="D1384" s="6" t="inlineStr">
        <is>
          <t>05_Carbon_Calculator</t>
        </is>
      </c>
      <c r="E1384" s="6" t="inlineStr">
        <is>
          <t>05_Carbon_Calculator</t>
        </is>
      </c>
      <c r="F1384" s="12" t="inlineStr">
        <is>
          <t>PASS</t>
        </is>
      </c>
      <c r="H1384" s="6" t="n"/>
    </row>
    <row r="1385">
      <c r="A1385" t="inlineStr">
        <is>
          <t>REQ_NCI_CLIENT_PRODUCT_TYPE</t>
        </is>
      </c>
      <c r="B1385" t="inlineStr">
        <is>
          <t>Entity</t>
        </is>
      </c>
      <c r="C1385" t="inlineStr">
        <is>
          <t>SensitivePersonalData</t>
        </is>
      </c>
      <c r="D1385" s="6" t="inlineStr">
        <is>
          <t>No Sensitive Personal Data</t>
        </is>
      </c>
      <c r="E1385" s="6" t="inlineStr">
        <is>
          <t>No Sensitive Personal Data</t>
        </is>
      </c>
      <c r="F1385" s="12" t="inlineStr">
        <is>
          <t>PASS</t>
        </is>
      </c>
      <c r="G1385" t="inlineStr">
        <is>
          <t>BIM-core.SensitivePersonalData</t>
        </is>
      </c>
      <c r="H1385" s="6" t="n"/>
    </row>
    <row r="1386">
      <c r="A1386" t="inlineStr">
        <is>
          <t>REQ_NCI_CLIENT_PRODUCT_UOM</t>
        </is>
      </c>
      <c r="B1386" t="inlineStr">
        <is>
          <t>Entity</t>
        </is>
      </c>
      <c r="C1386" t="inlineStr">
        <is>
          <t>CommerciallySensitiveInformation</t>
        </is>
      </c>
      <c r="D1386" s="6" t="inlineStr">
        <is>
          <t>No Commercially Sensitive Information</t>
        </is>
      </c>
      <c r="E1386" s="6" t="inlineStr">
        <is>
          <t>No Commercially Sensitive Information</t>
        </is>
      </c>
      <c r="F1386" s="12" t="inlineStr">
        <is>
          <t>PASS</t>
        </is>
      </c>
      <c r="G1386" t="inlineStr">
        <is>
          <t>BIM-core.CommerciallySensitiveInformation</t>
        </is>
      </c>
      <c r="H1386" s="6" t="n"/>
    </row>
    <row r="1387">
      <c r="A1387" t="inlineStr">
        <is>
          <t>REQ_NCI_CLIENT_PRODUCT_UOM</t>
        </is>
      </c>
      <c r="B1387" t="inlineStr">
        <is>
          <t>Entity</t>
        </is>
      </c>
      <c r="C1387" t="inlineStr">
        <is>
          <t>Criticality</t>
        </is>
      </c>
      <c r="D1387" s="6" t="inlineStr">
        <is>
          <t>No Critical Data</t>
        </is>
      </c>
      <c r="E1387" s="6" t="inlineStr">
        <is>
          <t>No Critical Data</t>
        </is>
      </c>
      <c r="F1387" s="12" t="inlineStr">
        <is>
          <t>PASS</t>
        </is>
      </c>
      <c r="G1387" t="inlineStr">
        <is>
          <t>BIM-core.Criticality</t>
        </is>
      </c>
      <c r="H1387" s="6" t="n"/>
    </row>
    <row r="1388">
      <c r="A1388" t="inlineStr">
        <is>
          <t>REQ_NCI_CLIENT_PRODUCT_UOM</t>
        </is>
      </c>
      <c r="B1388" t="inlineStr">
        <is>
          <t>Entity</t>
        </is>
      </c>
      <c r="C1388" t="inlineStr">
        <is>
          <t>DataCategory</t>
        </is>
      </c>
      <c r="D1388" s="6" t="inlineStr">
        <is>
          <t>Structured</t>
        </is>
      </c>
      <c r="E1388" s="6" t="inlineStr">
        <is>
          <t>Structured</t>
        </is>
      </c>
      <c r="F1388" s="12" t="inlineStr">
        <is>
          <t>PASS</t>
        </is>
      </c>
      <c r="G1388" t="inlineStr">
        <is>
          <t>BIM-core.DataCategory</t>
        </is>
      </c>
      <c r="H1388" s="6" t="n"/>
    </row>
    <row r="1389">
      <c r="A1389" t="inlineStr">
        <is>
          <t>REQ_NCI_CLIENT_PRODUCT_UOM</t>
        </is>
      </c>
      <c r="B1389" t="inlineStr">
        <is>
          <t>Entity</t>
        </is>
      </c>
      <c r="C1389" t="inlineStr">
        <is>
          <t>DataConfidentiality</t>
        </is>
      </c>
      <c r="D1389" s="6" t="inlineStr">
        <is>
          <t>Internal</t>
        </is>
      </c>
      <c r="E1389" s="6" t="inlineStr">
        <is>
          <t>Internal</t>
        </is>
      </c>
      <c r="F1389" s="12" t="inlineStr">
        <is>
          <t>PASS</t>
        </is>
      </c>
      <c r="G1389" t="inlineStr">
        <is>
          <t>BIM-core.DataConfidentiality</t>
        </is>
      </c>
      <c r="H1389" s="6" t="n"/>
    </row>
    <row r="1390">
      <c r="A1390" t="inlineStr">
        <is>
          <t>REQ_NCI_CLIENT_PRODUCT_UOM</t>
        </is>
      </c>
      <c r="B1390" t="inlineStr">
        <is>
          <t>Entity</t>
        </is>
      </c>
      <c r="C1390" t="inlineStr">
        <is>
          <t>DesignStatus</t>
        </is>
      </c>
      <c r="D1390" s="6" t="inlineStr">
        <is>
          <t>Approved</t>
        </is>
      </c>
      <c r="E1390" s="6" t="inlineStr">
        <is>
          <t>Approved</t>
        </is>
      </c>
      <c r="F1390" s="12" t="inlineStr">
        <is>
          <t>PASS</t>
        </is>
      </c>
      <c r="G1390" t="inlineStr">
        <is>
          <t>BIM-core.DesignStatus</t>
        </is>
      </c>
      <c r="H1390" s="6" t="n"/>
    </row>
    <row r="1391">
      <c r="A1391" t="inlineStr">
        <is>
          <t>REQ_NCI_CLIENT_PRODUCT_UOM</t>
        </is>
      </c>
      <c r="B1391" t="inlineStr">
        <is>
          <t>Entity</t>
        </is>
      </c>
      <c r="C1391" t="inlineStr">
        <is>
          <t>EntityCategory</t>
        </is>
      </c>
      <c r="D1391" s="6" t="inlineStr">
        <is>
          <t>Transaction</t>
        </is>
      </c>
      <c r="E1391" s="6" t="inlineStr">
        <is>
          <t>Transaction</t>
        </is>
      </c>
      <c r="F1391" s="12" t="inlineStr">
        <is>
          <t>PASS</t>
        </is>
      </c>
      <c r="G1391" t="inlineStr">
        <is>
          <t>BIM-core.EntityCategory</t>
        </is>
      </c>
      <c r="H1391" s="6" t="n"/>
    </row>
    <row r="1392">
      <c r="A1392" t="inlineStr">
        <is>
          <t>REQ_NCI_CLIENT_PRODUCT_UOM</t>
        </is>
      </c>
      <c r="B1392" t="inlineStr">
        <is>
          <t>Entity</t>
        </is>
      </c>
      <c r="C1392" t="inlineStr">
        <is>
          <t>EntityPersonalData</t>
        </is>
      </c>
      <c r="D1392" s="6" t="inlineStr">
        <is>
          <t>No Personal Data</t>
        </is>
      </c>
      <c r="E1392" s="6" t="inlineStr">
        <is>
          <t>No Personal Data</t>
        </is>
      </c>
      <c r="F1392" s="12" t="inlineStr">
        <is>
          <t>PASS</t>
        </is>
      </c>
      <c r="G1392" t="inlineStr">
        <is>
          <t>BIM-core.EntityPersonalData</t>
        </is>
      </c>
      <c r="H1392" s="6" t="n"/>
    </row>
    <row r="1393">
      <c r="A1393" t="inlineStr">
        <is>
          <t>REQ_NCI_CLIENT_PRODUCT_UOM</t>
        </is>
      </c>
      <c r="B1393" t="inlineStr">
        <is>
          <t>Entity</t>
        </is>
      </c>
      <c r="C1393" t="inlineStr">
        <is>
          <t>FinancialPersonalData</t>
        </is>
      </c>
      <c r="D1393" s="6" t="inlineStr">
        <is>
          <t>No Financial Personal Data</t>
        </is>
      </c>
      <c r="E1393" s="6" t="inlineStr">
        <is>
          <t>No Financial Personal Data</t>
        </is>
      </c>
      <c r="F1393" s="12" t="inlineStr">
        <is>
          <t>PASS</t>
        </is>
      </c>
      <c r="G1393" t="inlineStr">
        <is>
          <t>BIM-core.FinancialPersonalData</t>
        </is>
      </c>
      <c r="H1393" s="6" t="n"/>
    </row>
    <row r="1394">
      <c r="A1394" t="inlineStr">
        <is>
          <t>REQ_NCI_CLIENT_PRODUCT_UOM</t>
        </is>
      </c>
      <c r="B1394" t="inlineStr">
        <is>
          <t>Entity</t>
        </is>
      </c>
      <c r="C1394" t="inlineStr">
        <is>
          <t>MTED_EDaM_Mapping_Note</t>
        </is>
      </c>
      <c r="D1394" s="6" t="inlineStr">
        <is>
          <t>{\rtf1\ansi\ansicpg1252\deff0\nouicompat\deflang2057{\fonttbl{\f0\fnil\fcharset0 Times New Roman;}}</t>
        </is>
      </c>
      <c r="E1394" s="6" t="inlineStr">
        <is>
          <t>{\rtf1\ansi\ansicpg1252\deff0\nouicompat\deflang2057{\fonttbl{\f0\fnil\fcharset0 Times New Roman;}}</t>
        </is>
      </c>
      <c r="F1394" s="12" t="inlineStr">
        <is>
          <t>PASS</t>
        </is>
      </c>
      <c r="G1394" t="inlineStr">
        <is>
          <t>BIM-core.MTED_EDaM_Mapping_Note</t>
        </is>
      </c>
      <c r="H1394" s="6" t="n"/>
    </row>
    <row r="1395">
      <c r="A1395" t="inlineStr">
        <is>
          <t>REQ_NCI_CLIENT_PRODUCT_UOM</t>
        </is>
      </c>
      <c r="B1395" t="inlineStr">
        <is>
          <t>Entity</t>
        </is>
      </c>
      <c r="C1395" t="inlineStr">
        <is>
          <t>MappingLevel</t>
        </is>
      </c>
      <c r="D1395" s="6" t="inlineStr">
        <is>
          <t>Application Specific</t>
        </is>
      </c>
      <c r="E1395" s="6" t="inlineStr">
        <is>
          <t>Application Specific</t>
        </is>
      </c>
      <c r="F1395" s="12" t="inlineStr">
        <is>
          <t>PASS</t>
        </is>
      </c>
      <c r="G1395" t="inlineStr">
        <is>
          <t>BIM-core.MappingLevel</t>
        </is>
      </c>
      <c r="H1395" s="6" t="n"/>
    </row>
    <row r="1396">
      <c r="A1396" t="inlineStr">
        <is>
          <t>REQ_NCI_CLIENT_PRODUCT_UOM</t>
        </is>
      </c>
      <c r="B1396" t="inlineStr">
        <is>
          <t>Entity</t>
        </is>
      </c>
      <c r="C1396" t="inlineStr">
        <is>
          <t>PD_ObjectID</t>
        </is>
      </c>
      <c r="D1396" s="6" t="inlineStr">
        <is>
          <t>46699FBA-B0D0-459A-B154-4E2584DD18E6</t>
        </is>
      </c>
      <c r="E1396" s="6" t="inlineStr">
        <is>
          <t>46699FBA-B0D0-459A-B154-4E2584DD18E6</t>
        </is>
      </c>
      <c r="F1396" s="12" t="inlineStr">
        <is>
          <t>PASS</t>
        </is>
      </c>
      <c r="H1396" s="6" t="n"/>
    </row>
    <row r="1397">
      <c r="A1397" t="inlineStr">
        <is>
          <t>REQ_NCI_CLIENT_PRODUCT_UOM</t>
        </is>
      </c>
      <c r="B1397" t="inlineStr">
        <is>
          <t>Entity</t>
        </is>
      </c>
      <c r="C1397" t="inlineStr">
        <is>
          <t>PD_SourceExtraction</t>
        </is>
      </c>
      <c r="D1397" s="6" t="inlineStr">
        <is>
          <t>46603045</t>
        </is>
      </c>
      <c r="E1397" s="6" t="inlineStr">
        <is>
          <t>46603045</t>
        </is>
      </c>
      <c r="F1397" s="12" t="inlineStr">
        <is>
          <t>PASS</t>
        </is>
      </c>
      <c r="H1397" s="6" t="n"/>
    </row>
    <row r="1398">
      <c r="A1398" t="inlineStr">
        <is>
          <t>REQ_NCI_CLIENT_PRODUCT_UOM</t>
        </is>
      </c>
      <c r="B1398" t="inlineStr">
        <is>
          <t>Entity</t>
        </is>
      </c>
      <c r="C1398" t="inlineStr">
        <is>
          <t>PD_SourceModel</t>
        </is>
      </c>
      <c r="D1398" s="6" t="inlineStr">
        <is>
          <t>05_Carbon_Calculator</t>
        </is>
      </c>
      <c r="E1398" s="6" t="inlineStr">
        <is>
          <t>05_Carbon_Calculator</t>
        </is>
      </c>
      <c r="F1398" s="12" t="inlineStr">
        <is>
          <t>PASS</t>
        </is>
      </c>
      <c r="H1398" s="6" t="n"/>
    </row>
    <row r="1399">
      <c r="A1399" t="inlineStr">
        <is>
          <t>REQ_NCI_CLIENT_PRODUCT_UOM</t>
        </is>
      </c>
      <c r="B1399" t="inlineStr">
        <is>
          <t>Entity</t>
        </is>
      </c>
      <c r="C1399" t="inlineStr">
        <is>
          <t>SensitivePersonalData</t>
        </is>
      </c>
      <c r="D1399" s="6" t="inlineStr">
        <is>
          <t>No Sensitive Personal Data</t>
        </is>
      </c>
      <c r="E1399" s="6" t="inlineStr">
        <is>
          <t>No Sensitive Personal Data</t>
        </is>
      </c>
      <c r="F1399" s="12" t="inlineStr">
        <is>
          <t>PASS</t>
        </is>
      </c>
      <c r="G1399" t="inlineStr">
        <is>
          <t>BIM-core.SensitivePersonalData</t>
        </is>
      </c>
      <c r="H1399" s="6" t="n"/>
    </row>
    <row r="1400">
      <c r="A1400" t="inlineStr">
        <is>
          <t>REQ_PCF_FUEL_PRODUCT_REGION_CLIENT</t>
        </is>
      </c>
      <c r="B1400" t="inlineStr">
        <is>
          <t>Entity</t>
        </is>
      </c>
      <c r="C1400" t="inlineStr">
        <is>
          <t>CSI</t>
        </is>
      </c>
      <c r="D1400" s="6" t="inlineStr">
        <is>
          <t>false</t>
        </is>
      </c>
      <c r="E1400" s="6" t="inlineStr">
        <is>
          <t>false</t>
        </is>
      </c>
      <c r="F1400" s="12" t="inlineStr">
        <is>
          <t>PASS</t>
        </is>
      </c>
      <c r="G1400" t="inlineStr">
        <is>
          <t>SHL_LDM_EntityPropertyExtension.CSI</t>
        </is>
      </c>
      <c r="H1400" s="6" t="n"/>
    </row>
    <row r="1401">
      <c r="A1401" t="inlineStr">
        <is>
          <t>REQ_PCF_FUEL_PRODUCT_REGION_CLIENT</t>
        </is>
      </c>
      <c r="B1401" t="inlineStr">
        <is>
          <t>Entity</t>
        </is>
      </c>
      <c r="C1401" t="inlineStr">
        <is>
          <t>CommerciallySensitiveInformation</t>
        </is>
      </c>
      <c r="D1401" s="6" t="inlineStr">
        <is>
          <t>No Commercially Sensitive Information</t>
        </is>
      </c>
      <c r="E1401" s="6" t="inlineStr">
        <is>
          <t>No Commercially Sensitive Information</t>
        </is>
      </c>
      <c r="F1401" s="12" t="inlineStr">
        <is>
          <t>PASS</t>
        </is>
      </c>
      <c r="G1401" t="inlineStr">
        <is>
          <t>BIM-core.CommerciallySensitiveInformation</t>
        </is>
      </c>
      <c r="H1401" s="6" t="n"/>
    </row>
    <row r="1402">
      <c r="A1402" t="inlineStr">
        <is>
          <t>REQ_PCF_FUEL_PRODUCT_REGION_CLIENT</t>
        </is>
      </c>
      <c r="B1402" t="inlineStr">
        <is>
          <t>Entity</t>
        </is>
      </c>
      <c r="C1402" t="inlineStr">
        <is>
          <t>Criticality</t>
        </is>
      </c>
      <c r="D1402" s="6" t="inlineStr">
        <is>
          <t>No Critical Data</t>
        </is>
      </c>
      <c r="E1402" s="6" t="inlineStr">
        <is>
          <t>No Critical Data</t>
        </is>
      </c>
      <c r="F1402" s="12" t="inlineStr">
        <is>
          <t>PASS</t>
        </is>
      </c>
      <c r="G1402" t="inlineStr">
        <is>
          <t>BIM-core.Criticality</t>
        </is>
      </c>
      <c r="H1402" s="6" t="n"/>
    </row>
    <row r="1403">
      <c r="A1403" t="inlineStr">
        <is>
          <t>REQ_PCF_FUEL_PRODUCT_REGION_CLIENT</t>
        </is>
      </c>
      <c r="B1403" t="inlineStr">
        <is>
          <t>Entity</t>
        </is>
      </c>
      <c r="C1403" t="inlineStr">
        <is>
          <t>DataCategory</t>
        </is>
      </c>
      <c r="D1403" s="6" t="inlineStr">
        <is>
          <t>Structured</t>
        </is>
      </c>
      <c r="E1403" s="6" t="inlineStr">
        <is>
          <t>Structured</t>
        </is>
      </c>
      <c r="F1403" s="12" t="inlineStr">
        <is>
          <t>PASS</t>
        </is>
      </c>
      <c r="G1403" t="inlineStr">
        <is>
          <t>BIM-core.DataCategory</t>
        </is>
      </c>
      <c r="H1403" s="6" t="n"/>
    </row>
    <row r="1404">
      <c r="A1404" t="inlineStr">
        <is>
          <t>REQ_PCF_FUEL_PRODUCT_REGION_CLIENT</t>
        </is>
      </c>
      <c r="B1404" t="inlineStr">
        <is>
          <t>Entity</t>
        </is>
      </c>
      <c r="C1404" t="inlineStr">
        <is>
          <t>DataConfidentiality</t>
        </is>
      </c>
      <c r="D1404" s="6" t="inlineStr">
        <is>
          <t>Internal</t>
        </is>
      </c>
      <c r="E1404" s="6" t="inlineStr">
        <is>
          <t>Internal</t>
        </is>
      </c>
      <c r="F1404" s="12" t="inlineStr">
        <is>
          <t>PASS</t>
        </is>
      </c>
      <c r="G1404" t="inlineStr">
        <is>
          <t>BIM-core.DataConfidentiality</t>
        </is>
      </c>
      <c r="H1404" s="6" t="n"/>
    </row>
    <row r="1405">
      <c r="A1405" t="inlineStr">
        <is>
          <t>REQ_PCF_FUEL_PRODUCT_REGION_CLIENT</t>
        </is>
      </c>
      <c r="B1405" t="inlineStr">
        <is>
          <t>Entity</t>
        </is>
      </c>
      <c r="C1405" t="inlineStr">
        <is>
          <t>DesignStatus</t>
        </is>
      </c>
      <c r="D1405" s="6" t="inlineStr">
        <is>
          <t>Approved</t>
        </is>
      </c>
      <c r="E1405" s="6" t="inlineStr">
        <is>
          <t>Approved</t>
        </is>
      </c>
      <c r="F1405" s="12" t="inlineStr">
        <is>
          <t>PASS</t>
        </is>
      </c>
      <c r="G1405" t="inlineStr">
        <is>
          <t>BIM-core.DesignStatus</t>
        </is>
      </c>
      <c r="H1405" s="6" t="n"/>
    </row>
    <row r="1406">
      <c r="A1406" t="inlineStr">
        <is>
          <t>REQ_PCF_FUEL_PRODUCT_REGION_CLIENT</t>
        </is>
      </c>
      <c r="B1406" t="inlineStr">
        <is>
          <t>Entity</t>
        </is>
      </c>
      <c r="C1406" t="inlineStr">
        <is>
          <t>EntityCategory</t>
        </is>
      </c>
      <c r="D1406" s="6" t="inlineStr">
        <is>
          <t>Transaction</t>
        </is>
      </c>
      <c r="E1406" s="6" t="inlineStr">
        <is>
          <t>Transaction</t>
        </is>
      </c>
      <c r="F1406" s="12" t="inlineStr">
        <is>
          <t>PASS</t>
        </is>
      </c>
      <c r="G1406" t="inlineStr">
        <is>
          <t>BIM-core.EntityCategory</t>
        </is>
      </c>
      <c r="H1406" s="6" t="n"/>
    </row>
    <row r="1407">
      <c r="A1407" t="inlineStr">
        <is>
          <t>REQ_PCF_FUEL_PRODUCT_REGION_CLIENT</t>
        </is>
      </c>
      <c r="B1407" t="inlineStr">
        <is>
          <t>Entity</t>
        </is>
      </c>
      <c r="C1407" t="inlineStr">
        <is>
          <t>EntityPersonalData</t>
        </is>
      </c>
      <c r="D1407" s="6" t="inlineStr">
        <is>
          <t>No Personal Data</t>
        </is>
      </c>
      <c r="E1407" s="6" t="inlineStr">
        <is>
          <t>No Personal Data</t>
        </is>
      </c>
      <c r="F1407" s="12" t="inlineStr">
        <is>
          <t>PASS</t>
        </is>
      </c>
      <c r="G1407" t="inlineStr">
        <is>
          <t>BIM-core.EntityPersonalData</t>
        </is>
      </c>
      <c r="H1407" s="6" t="n"/>
    </row>
    <row r="1408">
      <c r="A1408" t="inlineStr">
        <is>
          <t>REQ_PCF_FUEL_PRODUCT_REGION_CLIENT</t>
        </is>
      </c>
      <c r="B1408" t="inlineStr">
        <is>
          <t>Entity</t>
        </is>
      </c>
      <c r="C1408" t="inlineStr">
        <is>
          <t>FinancialPersonalData</t>
        </is>
      </c>
      <c r="D1408" s="6" t="inlineStr">
        <is>
          <t>No Financial Personal Data</t>
        </is>
      </c>
      <c r="E1408" s="6" t="inlineStr">
        <is>
          <t>No Financial Personal Data</t>
        </is>
      </c>
      <c r="F1408" s="12" t="inlineStr">
        <is>
          <t>PASS</t>
        </is>
      </c>
      <c r="G1408" t="inlineStr">
        <is>
          <t>BIM-core.FinancialPersonalData</t>
        </is>
      </c>
      <c r="H1408" s="6" t="n"/>
    </row>
    <row r="1409">
      <c r="A1409" t="inlineStr">
        <is>
          <t>REQ_PCF_FUEL_PRODUCT_REGION_CLIENT</t>
        </is>
      </c>
      <c r="B1409" t="inlineStr">
        <is>
          <t>Entity</t>
        </is>
      </c>
      <c r="C1409" t="inlineStr">
        <is>
          <t>MTED_EDaM_Design_Status</t>
        </is>
      </c>
      <c r="D1409" s="6" t="inlineStr">
        <is>
          <t>Approved</t>
        </is>
      </c>
      <c r="E1409" s="6" t="inlineStr">
        <is>
          <t>Approved</t>
        </is>
      </c>
      <c r="F1409" s="12" t="inlineStr">
        <is>
          <t>PASS</t>
        </is>
      </c>
      <c r="G1409" t="inlineStr">
        <is>
          <t>SHL_LDM_EntityPropertyExtension.MTED_EDaM_Design_Status</t>
        </is>
      </c>
      <c r="H1409" s="6" t="n"/>
    </row>
    <row r="1410">
      <c r="A1410" t="inlineStr">
        <is>
          <t>REQ_PCF_FUEL_PRODUCT_REGION_CLIENT</t>
        </is>
      </c>
      <c r="B1410" t="inlineStr">
        <is>
          <t>Entity</t>
        </is>
      </c>
      <c r="C1410" t="inlineStr">
        <is>
          <t>MTED_EDaM_Entity_Critical_Data</t>
        </is>
      </c>
      <c r="D1410" s="6" t="inlineStr">
        <is>
          <t>L</t>
        </is>
      </c>
      <c r="E1410" s="6" t="inlineStr">
        <is>
          <t>L</t>
        </is>
      </c>
      <c r="F1410" s="12" t="inlineStr">
        <is>
          <t>PASS</t>
        </is>
      </c>
      <c r="G1410" t="inlineStr">
        <is>
          <t>SHL_LDM_EntityPropertyExtension.MTED_EDaM_Entity_Critical_Data</t>
        </is>
      </c>
      <c r="H1410" s="6" t="n"/>
    </row>
    <row r="1411">
      <c r="A1411" t="inlineStr">
        <is>
          <t>REQ_PCF_FUEL_PRODUCT_REGION_CLIENT</t>
        </is>
      </c>
      <c r="B1411" t="inlineStr">
        <is>
          <t>Entity</t>
        </is>
      </c>
      <c r="C1411" t="inlineStr">
        <is>
          <t>MTED_EDaM_Entity_Data_Category</t>
        </is>
      </c>
      <c r="D1411" s="6" t="inlineStr">
        <is>
          <t>Master</t>
        </is>
      </c>
      <c r="E1411" s="6" t="inlineStr">
        <is>
          <t>Master</t>
        </is>
      </c>
      <c r="F1411" s="12" t="inlineStr">
        <is>
          <t>PASS</t>
        </is>
      </c>
      <c r="G1411" t="inlineStr">
        <is>
          <t>SHL_LDM_EntityPropertyExtension.MTED_EDaM_Entity_Data_Category</t>
        </is>
      </c>
      <c r="H1411" s="6" t="n"/>
    </row>
    <row r="1412">
      <c r="A1412" t="inlineStr">
        <is>
          <t>REQ_PCF_FUEL_PRODUCT_REGION_CLIENT</t>
        </is>
      </c>
      <c r="B1412" t="inlineStr">
        <is>
          <t>Entity</t>
        </is>
      </c>
      <c r="C1412" t="inlineStr">
        <is>
          <t>MTED_EDaM_Mapping_Note</t>
        </is>
      </c>
      <c r="D1412" s="6" t="inlineStr">
        <is>
          <t>{\rtf1\ansi\ansicpg1252\deff0\nouicompat\deflang2057{\fonttbl{\f0\fnil\fcharset0 Times New Roman;}}</t>
        </is>
      </c>
      <c r="E1412" s="6" t="inlineStr">
        <is>
          <t>{\rtf1\ansi\ansicpg1252\deff0\nouicompat\deflang2057{\fonttbl{\f0\fnil\fcharset0 Times New Roman;}}</t>
        </is>
      </c>
      <c r="F1412" s="12" t="inlineStr">
        <is>
          <t>PASS</t>
        </is>
      </c>
      <c r="G1412" t="inlineStr">
        <is>
          <t>BIM-core.MTED_EDaM_Mapping_Note</t>
        </is>
      </c>
      <c r="H1412" s="6" t="n"/>
    </row>
    <row r="1413">
      <c r="A1413" t="inlineStr">
        <is>
          <t>REQ_PCF_FUEL_PRODUCT_REGION_CLIENT</t>
        </is>
      </c>
      <c r="B1413" t="inlineStr">
        <is>
          <t>Entity</t>
        </is>
      </c>
      <c r="C1413" t="inlineStr">
        <is>
          <t>MTED_EDaM_Security_Classification</t>
        </is>
      </c>
      <c r="D1413" s="6" t="inlineStr">
        <is>
          <t>Restricted</t>
        </is>
      </c>
      <c r="E1413" s="6" t="inlineStr">
        <is>
          <t>Restricted</t>
        </is>
      </c>
      <c r="F1413" s="12" t="inlineStr">
        <is>
          <t>PASS</t>
        </is>
      </c>
      <c r="G1413" t="inlineStr">
        <is>
          <t>SHL_LDM_EntityPropertyExtension.MTED_EDaM_Security_Classification</t>
        </is>
      </c>
      <c r="H1413" s="6" t="n"/>
    </row>
    <row r="1414">
      <c r="A1414" t="inlineStr">
        <is>
          <t>REQ_PCF_FUEL_PRODUCT_REGION_CLIENT</t>
        </is>
      </c>
      <c r="B1414" t="inlineStr">
        <is>
          <t>Entity</t>
        </is>
      </c>
      <c r="C1414" t="inlineStr">
        <is>
          <t>MTED_Encryption_Required</t>
        </is>
      </c>
      <c r="D1414" s="6" t="inlineStr">
        <is>
          <t>false</t>
        </is>
      </c>
      <c r="E1414" s="6" t="inlineStr">
        <is>
          <t>false</t>
        </is>
      </c>
      <c r="F1414" s="12" t="inlineStr">
        <is>
          <t>PASS</t>
        </is>
      </c>
      <c r="G1414" t="inlineStr">
        <is>
          <t>SHL_LDM_EntityPropertyExtension.MTED_Encryption_Required</t>
        </is>
      </c>
      <c r="H1414" s="6" t="n"/>
    </row>
    <row r="1415">
      <c r="A1415" t="inlineStr">
        <is>
          <t>REQ_PCF_FUEL_PRODUCT_REGION_CLIENT</t>
        </is>
      </c>
      <c r="B1415" t="inlineStr">
        <is>
          <t>Entity</t>
        </is>
      </c>
      <c r="C1415" t="inlineStr">
        <is>
          <t>MappingLevel</t>
        </is>
      </c>
      <c r="D1415" s="6" t="inlineStr">
        <is>
          <t>Application Specific</t>
        </is>
      </c>
      <c r="E1415" s="6" t="inlineStr">
        <is>
          <t>Application Specific</t>
        </is>
      </c>
      <c r="F1415" s="12" t="inlineStr">
        <is>
          <t>PASS</t>
        </is>
      </c>
      <c r="G1415" t="inlineStr">
        <is>
          <t>BIM-core.MappingLevel</t>
        </is>
      </c>
      <c r="H1415" s="6" t="n"/>
    </row>
    <row r="1416">
      <c r="A1416" t="inlineStr">
        <is>
          <t>REQ_PCF_FUEL_PRODUCT_REGION_CLIENT</t>
        </is>
      </c>
      <c r="B1416" t="inlineStr">
        <is>
          <t>Entity</t>
        </is>
      </c>
      <c r="C1416" t="inlineStr">
        <is>
          <t>PD_ObjectID</t>
        </is>
      </c>
      <c r="D1416" s="6" t="inlineStr">
        <is>
          <t>1B0FBF62-236C-46E0-94F1-CF1BE3E6C2E9</t>
        </is>
      </c>
      <c r="E1416" s="6" t="inlineStr">
        <is>
          <t>1B0FBF62-236C-46E0-94F1-CF1BE3E6C2E9</t>
        </is>
      </c>
      <c r="F1416" s="12" t="inlineStr">
        <is>
          <t>PASS</t>
        </is>
      </c>
      <c r="H1416" s="6" t="n"/>
    </row>
    <row r="1417">
      <c r="A1417" t="inlineStr">
        <is>
          <t>REQ_PCF_FUEL_PRODUCT_REGION_CLIENT</t>
        </is>
      </c>
      <c r="B1417" t="inlineStr">
        <is>
          <t>Entity</t>
        </is>
      </c>
      <c r="C1417" t="inlineStr">
        <is>
          <t>PD_SourceExtraction</t>
        </is>
      </c>
      <c r="D1417" s="6" t="inlineStr">
        <is>
          <t>46603045</t>
        </is>
      </c>
      <c r="E1417" s="6" t="inlineStr">
        <is>
          <t>46603045</t>
        </is>
      </c>
      <c r="F1417" s="12" t="inlineStr">
        <is>
          <t>PASS</t>
        </is>
      </c>
      <c r="H1417" s="6" t="n"/>
    </row>
    <row r="1418">
      <c r="A1418" t="inlineStr">
        <is>
          <t>REQ_PCF_FUEL_PRODUCT_REGION_CLIENT</t>
        </is>
      </c>
      <c r="B1418" t="inlineStr">
        <is>
          <t>Entity</t>
        </is>
      </c>
      <c r="C1418" t="inlineStr">
        <is>
          <t>PD_SourceModel</t>
        </is>
      </c>
      <c r="D1418" s="6" t="inlineStr">
        <is>
          <t>05_Carbon_Calculator</t>
        </is>
      </c>
      <c r="E1418" s="6" t="inlineStr">
        <is>
          <t>05_Carbon_Calculator</t>
        </is>
      </c>
      <c r="F1418" s="12" t="inlineStr">
        <is>
          <t>PASS</t>
        </is>
      </c>
      <c r="H1418" s="6" t="n"/>
    </row>
    <row r="1419">
      <c r="A1419" t="inlineStr">
        <is>
          <t>REQ_PCF_FUEL_PRODUCT_REGION_CLIENT</t>
        </is>
      </c>
      <c r="B1419" t="inlineStr">
        <is>
          <t>Entity</t>
        </is>
      </c>
      <c r="C1419" t="inlineStr">
        <is>
          <t>SensitivePersonalData</t>
        </is>
      </c>
      <c r="D1419" s="6" t="inlineStr">
        <is>
          <t>No Sensitive Personal Data</t>
        </is>
      </c>
      <c r="E1419" s="6" t="inlineStr">
        <is>
          <t>No Sensitive Personal Data</t>
        </is>
      </c>
      <c r="F1419" s="12" t="inlineStr">
        <is>
          <t>PASS</t>
        </is>
      </c>
      <c r="G1419" t="inlineStr">
        <is>
          <t>BIM-core.SensitivePersonalData</t>
        </is>
      </c>
      <c r="H1419" s="6" t="n"/>
    </row>
    <row r="1420">
      <c r="A1420" t="inlineStr">
        <is>
          <t>REQ_PCF_PRODUCT_REGION_ACTIVITY_PARAMETER</t>
        </is>
      </c>
      <c r="B1420" t="inlineStr">
        <is>
          <t>Entity</t>
        </is>
      </c>
      <c r="C1420" t="inlineStr">
        <is>
          <t>CommerciallySensitiveInformation</t>
        </is>
      </c>
      <c r="D1420" s="6" t="inlineStr">
        <is>
          <t>No Commercially Sensitive Information</t>
        </is>
      </c>
      <c r="E1420" s="6" t="inlineStr">
        <is>
          <t>No Commercially Sensitive Information</t>
        </is>
      </c>
      <c r="F1420" s="12" t="inlineStr">
        <is>
          <t>PASS</t>
        </is>
      </c>
      <c r="G1420" t="inlineStr">
        <is>
          <t>BIM-core.CommerciallySensitiveInformation</t>
        </is>
      </c>
      <c r="H1420" s="6" t="n"/>
    </row>
    <row r="1421">
      <c r="A1421" t="inlineStr">
        <is>
          <t>REQ_PCF_PRODUCT_REGION_ACTIVITY_PARAMETER</t>
        </is>
      </c>
      <c r="B1421" t="inlineStr">
        <is>
          <t>Entity</t>
        </is>
      </c>
      <c r="C1421" t="inlineStr">
        <is>
          <t>Criticality</t>
        </is>
      </c>
      <c r="D1421" s="6" t="inlineStr">
        <is>
          <t>No Critical Data</t>
        </is>
      </c>
      <c r="E1421" s="6" t="inlineStr">
        <is>
          <t>No Critical Data</t>
        </is>
      </c>
      <c r="F1421" s="12" t="inlineStr">
        <is>
          <t>PASS</t>
        </is>
      </c>
      <c r="G1421" t="inlineStr">
        <is>
          <t>BIM-core.Criticality</t>
        </is>
      </c>
      <c r="H1421" s="6" t="n"/>
    </row>
    <row r="1422">
      <c r="A1422" t="inlineStr">
        <is>
          <t>REQ_PCF_PRODUCT_REGION_ACTIVITY_PARAMETER</t>
        </is>
      </c>
      <c r="B1422" t="inlineStr">
        <is>
          <t>Entity</t>
        </is>
      </c>
      <c r="C1422" t="inlineStr">
        <is>
          <t>DataCategory</t>
        </is>
      </c>
      <c r="D1422" s="6" t="inlineStr">
        <is>
          <t>Structured</t>
        </is>
      </c>
      <c r="E1422" s="6" t="inlineStr">
        <is>
          <t>Structured</t>
        </is>
      </c>
      <c r="F1422" s="12" t="inlineStr">
        <is>
          <t>PASS</t>
        </is>
      </c>
      <c r="G1422" t="inlineStr">
        <is>
          <t>BIM-core.DataCategory</t>
        </is>
      </c>
      <c r="H1422" s="6" t="n"/>
    </row>
    <row r="1423">
      <c r="A1423" t="inlineStr">
        <is>
          <t>REQ_PCF_PRODUCT_REGION_ACTIVITY_PARAMETER</t>
        </is>
      </c>
      <c r="B1423" t="inlineStr">
        <is>
          <t>Entity</t>
        </is>
      </c>
      <c r="C1423" t="inlineStr">
        <is>
          <t>DataConfidentiality</t>
        </is>
      </c>
      <c r="D1423" s="6" t="inlineStr">
        <is>
          <t>Internal</t>
        </is>
      </c>
      <c r="E1423" s="6" t="inlineStr">
        <is>
          <t>Internal</t>
        </is>
      </c>
      <c r="F1423" s="12" t="inlineStr">
        <is>
          <t>PASS</t>
        </is>
      </c>
      <c r="G1423" t="inlineStr">
        <is>
          <t>BIM-core.DataConfidentiality</t>
        </is>
      </c>
      <c r="H1423" s="6" t="n"/>
    </row>
    <row r="1424">
      <c r="A1424" t="inlineStr">
        <is>
          <t>REQ_PCF_PRODUCT_REGION_ACTIVITY_PARAMETER</t>
        </is>
      </c>
      <c r="B1424" t="inlineStr">
        <is>
          <t>Entity</t>
        </is>
      </c>
      <c r="C1424" t="inlineStr">
        <is>
          <t>DesignStatus</t>
        </is>
      </c>
      <c r="D1424" s="6" t="inlineStr">
        <is>
          <t>Approved</t>
        </is>
      </c>
      <c r="E1424" s="6" t="inlineStr">
        <is>
          <t>Approved</t>
        </is>
      </c>
      <c r="F1424" s="12" t="inlineStr">
        <is>
          <t>PASS</t>
        </is>
      </c>
      <c r="G1424" t="inlineStr">
        <is>
          <t>BIM-core.DesignStatus</t>
        </is>
      </c>
      <c r="H1424" s="6" t="n"/>
    </row>
    <row r="1425">
      <c r="A1425" t="inlineStr">
        <is>
          <t>REQ_PCF_PRODUCT_REGION_ACTIVITY_PARAMETER</t>
        </is>
      </c>
      <c r="B1425" t="inlineStr">
        <is>
          <t>Entity</t>
        </is>
      </c>
      <c r="C1425" t="inlineStr">
        <is>
          <t>EntityCategory</t>
        </is>
      </c>
      <c r="D1425" s="6" t="inlineStr">
        <is>
          <t>Transaction</t>
        </is>
      </c>
      <c r="E1425" s="6" t="inlineStr">
        <is>
          <t>Transaction</t>
        </is>
      </c>
      <c r="F1425" s="12" t="inlineStr">
        <is>
          <t>PASS</t>
        </is>
      </c>
      <c r="G1425" t="inlineStr">
        <is>
          <t>BIM-core.EntityCategory</t>
        </is>
      </c>
      <c r="H1425" s="6" t="n"/>
    </row>
    <row r="1426">
      <c r="A1426" t="inlineStr">
        <is>
          <t>REQ_PCF_PRODUCT_REGION_ACTIVITY_PARAMETER</t>
        </is>
      </c>
      <c r="B1426" t="inlineStr">
        <is>
          <t>Entity</t>
        </is>
      </c>
      <c r="C1426" t="inlineStr">
        <is>
          <t>EntityPersonalData</t>
        </is>
      </c>
      <c r="D1426" s="6" t="inlineStr">
        <is>
          <t>Personal Data</t>
        </is>
      </c>
      <c r="E1426" s="6" t="inlineStr">
        <is>
          <t>Personal Data</t>
        </is>
      </c>
      <c r="F1426" s="12" t="inlineStr">
        <is>
          <t>PASS</t>
        </is>
      </c>
      <c r="G1426" t="inlineStr">
        <is>
          <t>BIM-core.EntityPersonalData</t>
        </is>
      </c>
      <c r="H1426" s="6" t="n"/>
    </row>
    <row r="1427">
      <c r="A1427" t="inlineStr">
        <is>
          <t>REQ_PCF_PRODUCT_REGION_ACTIVITY_PARAMETER</t>
        </is>
      </c>
      <c r="B1427" t="inlineStr">
        <is>
          <t>Entity</t>
        </is>
      </c>
      <c r="C1427" t="inlineStr">
        <is>
          <t>FinancialPersonalData</t>
        </is>
      </c>
      <c r="D1427" s="6" t="inlineStr">
        <is>
          <t>No Financial Personal Data</t>
        </is>
      </c>
      <c r="E1427" s="6" t="inlineStr">
        <is>
          <t>No Financial Personal Data</t>
        </is>
      </c>
      <c r="F1427" s="12" t="inlineStr">
        <is>
          <t>PASS</t>
        </is>
      </c>
      <c r="G1427" t="inlineStr">
        <is>
          <t>BIM-core.FinancialPersonalData</t>
        </is>
      </c>
      <c r="H1427" s="6" t="n"/>
    </row>
    <row r="1428">
      <c r="A1428" t="inlineStr">
        <is>
          <t>REQ_PCF_PRODUCT_REGION_ACTIVITY_PARAMETER</t>
        </is>
      </c>
      <c r="B1428" t="inlineStr">
        <is>
          <t>Entity</t>
        </is>
      </c>
      <c r="C1428" t="inlineStr">
        <is>
          <t>MTED_EDaM_Mapping_Note</t>
        </is>
      </c>
      <c r="D1428" s="6" t="inlineStr">
        <is>
          <t>{\rtf1\ansi\ansicpg1252\deff0\nouicompat\deflang2057{\fonttbl{\f0\fnil\fcharset0 Times New Roman;}}</t>
        </is>
      </c>
      <c r="E1428" s="6" t="inlineStr">
        <is>
          <t>{\rtf1\ansi\ansicpg1252\deff0\nouicompat\deflang2057{\fonttbl{\f0\fnil\fcharset0 Times New Roman;}}</t>
        </is>
      </c>
      <c r="F1428" s="12" t="inlineStr">
        <is>
          <t>PASS</t>
        </is>
      </c>
      <c r="G1428" t="inlineStr">
        <is>
          <t>BIM-core.MTED_EDaM_Mapping_Note</t>
        </is>
      </c>
      <c r="H1428" s="6" t="n"/>
    </row>
    <row r="1429">
      <c r="A1429" t="inlineStr">
        <is>
          <t>REQ_PCF_PRODUCT_REGION_ACTIVITY_PARAMETER</t>
        </is>
      </c>
      <c r="B1429" t="inlineStr">
        <is>
          <t>Entity</t>
        </is>
      </c>
      <c r="C1429" t="inlineStr">
        <is>
          <t>MappingLevel</t>
        </is>
      </c>
      <c r="D1429" s="6" t="inlineStr">
        <is>
          <t>Application Specific</t>
        </is>
      </c>
      <c r="E1429" s="6" t="inlineStr">
        <is>
          <t>Application Specific</t>
        </is>
      </c>
      <c r="F1429" s="12" t="inlineStr">
        <is>
          <t>PASS</t>
        </is>
      </c>
      <c r="G1429" t="inlineStr">
        <is>
          <t>BIM-core.MappingLevel</t>
        </is>
      </c>
      <c r="H1429" s="6" t="n"/>
    </row>
    <row r="1430">
      <c r="A1430" t="inlineStr">
        <is>
          <t>REQ_PCF_PRODUCT_REGION_ACTIVITY_PARAMETER</t>
        </is>
      </c>
      <c r="B1430" t="inlineStr">
        <is>
          <t>Entity</t>
        </is>
      </c>
      <c r="C1430" t="inlineStr">
        <is>
          <t>PD_ObjectID</t>
        </is>
      </c>
      <c r="D1430" s="6" t="inlineStr">
        <is>
          <t>73D346FC-1843-4E05-AB8D-5807B748824F</t>
        </is>
      </c>
      <c r="E1430" s="6" t="inlineStr">
        <is>
          <t>73D346FC-1843-4E05-AB8D-5807B748824F</t>
        </is>
      </c>
      <c r="F1430" s="12" t="inlineStr">
        <is>
          <t>PASS</t>
        </is>
      </c>
      <c r="H1430" s="6" t="n"/>
    </row>
    <row r="1431">
      <c r="A1431" t="inlineStr">
        <is>
          <t>REQ_PCF_PRODUCT_REGION_ACTIVITY_PARAMETER</t>
        </is>
      </c>
      <c r="B1431" t="inlineStr">
        <is>
          <t>Entity</t>
        </is>
      </c>
      <c r="C1431" t="inlineStr">
        <is>
          <t>PD_SourceExtraction</t>
        </is>
      </c>
      <c r="D1431" s="6" t="inlineStr">
        <is>
          <t>46603045</t>
        </is>
      </c>
      <c r="E1431" s="6" t="inlineStr">
        <is>
          <t>46603045</t>
        </is>
      </c>
      <c r="F1431" s="12" t="inlineStr">
        <is>
          <t>PASS</t>
        </is>
      </c>
      <c r="H1431" s="6" t="n"/>
    </row>
    <row r="1432">
      <c r="A1432" t="inlineStr">
        <is>
          <t>REQ_PCF_PRODUCT_REGION_ACTIVITY_PARAMETER</t>
        </is>
      </c>
      <c r="B1432" t="inlineStr">
        <is>
          <t>Entity</t>
        </is>
      </c>
      <c r="C1432" t="inlineStr">
        <is>
          <t>PD_SourceModel</t>
        </is>
      </c>
      <c r="D1432" s="6" t="inlineStr">
        <is>
          <t>05_Carbon_Calculator</t>
        </is>
      </c>
      <c r="E1432" s="6" t="inlineStr">
        <is>
          <t>05_Carbon_Calculator</t>
        </is>
      </c>
      <c r="F1432" s="12" t="inlineStr">
        <is>
          <t>PASS</t>
        </is>
      </c>
      <c r="H1432" s="6" t="n"/>
    </row>
    <row r="1433">
      <c r="A1433" t="inlineStr">
        <is>
          <t>REQ_PCF_PRODUCT_REGION_ACTIVITY_PARAMETER</t>
        </is>
      </c>
      <c r="B1433" t="inlineStr">
        <is>
          <t>Entity</t>
        </is>
      </c>
      <c r="C1433" t="inlineStr">
        <is>
          <t>SensitivePersonalData</t>
        </is>
      </c>
      <c r="D1433" s="6" t="inlineStr">
        <is>
          <t>No Sensitive Personal Data</t>
        </is>
      </c>
      <c r="E1433" s="6" t="inlineStr">
        <is>
          <t>No Sensitive Personal Data</t>
        </is>
      </c>
      <c r="F1433" s="12" t="inlineStr">
        <is>
          <t>PASS</t>
        </is>
      </c>
      <c r="G1433" t="inlineStr">
        <is>
          <t>BIM-core.SensitivePersonalData</t>
        </is>
      </c>
      <c r="H1433" s="6" t="n"/>
    </row>
    <row r="1434">
      <c r="A1434" t="inlineStr">
        <is>
          <t>REQ_PCF_PRODUCT_REGION_ENERGY_APPLICATION</t>
        </is>
      </c>
      <c r="B1434" t="inlineStr">
        <is>
          <t>Entity</t>
        </is>
      </c>
      <c r="C1434" t="inlineStr">
        <is>
          <t>CommerciallySensitiveInformation</t>
        </is>
      </c>
      <c r="D1434" s="6" t="inlineStr">
        <is>
          <t>No Commercially Sensitive Information</t>
        </is>
      </c>
      <c r="E1434" s="6" t="inlineStr">
        <is>
          <t>No Commercially Sensitive Information</t>
        </is>
      </c>
      <c r="F1434" s="12" t="inlineStr">
        <is>
          <t>PASS</t>
        </is>
      </c>
      <c r="G1434" t="inlineStr">
        <is>
          <t>BIM-core.CommerciallySensitiveInformation</t>
        </is>
      </c>
      <c r="H1434" s="6" t="n"/>
    </row>
    <row r="1435">
      <c r="A1435" t="inlineStr">
        <is>
          <t>REQ_PCF_PRODUCT_REGION_ENERGY_APPLICATION</t>
        </is>
      </c>
      <c r="B1435" t="inlineStr">
        <is>
          <t>Entity</t>
        </is>
      </c>
      <c r="C1435" t="inlineStr">
        <is>
          <t>Criticality</t>
        </is>
      </c>
      <c r="D1435" s="6" t="inlineStr">
        <is>
          <t>No Critical Data</t>
        </is>
      </c>
      <c r="E1435" s="6" t="inlineStr">
        <is>
          <t>No Critical Data</t>
        </is>
      </c>
      <c r="F1435" s="12" t="inlineStr">
        <is>
          <t>PASS</t>
        </is>
      </c>
      <c r="G1435" t="inlineStr">
        <is>
          <t>BIM-core.Criticality</t>
        </is>
      </c>
      <c r="H1435" s="6" t="n"/>
    </row>
    <row r="1436">
      <c r="A1436" t="inlineStr">
        <is>
          <t>REQ_PCF_PRODUCT_REGION_ENERGY_APPLICATION</t>
        </is>
      </c>
      <c r="B1436" t="inlineStr">
        <is>
          <t>Entity</t>
        </is>
      </c>
      <c r="C1436" t="inlineStr">
        <is>
          <t>DataCategory</t>
        </is>
      </c>
      <c r="D1436" s="6" t="inlineStr">
        <is>
          <t>Structured</t>
        </is>
      </c>
      <c r="E1436" s="6" t="inlineStr">
        <is>
          <t>Structured</t>
        </is>
      </c>
      <c r="F1436" s="12" t="inlineStr">
        <is>
          <t>PASS</t>
        </is>
      </c>
      <c r="G1436" t="inlineStr">
        <is>
          <t>BIM-core.DataCategory</t>
        </is>
      </c>
      <c r="H1436" s="6" t="n"/>
    </row>
    <row r="1437">
      <c r="A1437" t="inlineStr">
        <is>
          <t>REQ_PCF_PRODUCT_REGION_ENERGY_APPLICATION</t>
        </is>
      </c>
      <c r="B1437" t="inlineStr">
        <is>
          <t>Entity</t>
        </is>
      </c>
      <c r="C1437" t="inlineStr">
        <is>
          <t>DataConfidentiality</t>
        </is>
      </c>
      <c r="D1437" s="6" t="inlineStr">
        <is>
          <t>Internal</t>
        </is>
      </c>
      <c r="E1437" s="6" t="inlineStr">
        <is>
          <t>Internal</t>
        </is>
      </c>
      <c r="F1437" s="12" t="inlineStr">
        <is>
          <t>PASS</t>
        </is>
      </c>
      <c r="G1437" t="inlineStr">
        <is>
          <t>BIM-core.DataConfidentiality</t>
        </is>
      </c>
      <c r="H1437" s="6" t="n"/>
    </row>
    <row r="1438">
      <c r="A1438" t="inlineStr">
        <is>
          <t>REQ_PCF_PRODUCT_REGION_ENERGY_APPLICATION</t>
        </is>
      </c>
      <c r="B1438" t="inlineStr">
        <is>
          <t>Entity</t>
        </is>
      </c>
      <c r="C1438" t="inlineStr">
        <is>
          <t>DesignStatus</t>
        </is>
      </c>
      <c r="D1438" s="6" t="inlineStr">
        <is>
          <t>Approved</t>
        </is>
      </c>
      <c r="E1438" s="6" t="inlineStr">
        <is>
          <t>Approved</t>
        </is>
      </c>
      <c r="F1438" s="12" t="inlineStr">
        <is>
          <t>PASS</t>
        </is>
      </c>
      <c r="G1438" t="inlineStr">
        <is>
          <t>BIM-core.DesignStatus</t>
        </is>
      </c>
      <c r="H1438" s="6" t="n"/>
    </row>
    <row r="1439">
      <c r="A1439" t="inlineStr">
        <is>
          <t>REQ_PCF_PRODUCT_REGION_ENERGY_APPLICATION</t>
        </is>
      </c>
      <c r="B1439" t="inlineStr">
        <is>
          <t>Entity</t>
        </is>
      </c>
      <c r="C1439" t="inlineStr">
        <is>
          <t>EntityCategory</t>
        </is>
      </c>
      <c r="D1439" s="6" t="inlineStr">
        <is>
          <t>Transaction</t>
        </is>
      </c>
      <c r="E1439" s="6" t="inlineStr">
        <is>
          <t>Transaction</t>
        </is>
      </c>
      <c r="F1439" s="12" t="inlineStr">
        <is>
          <t>PASS</t>
        </is>
      </c>
      <c r="G1439" t="inlineStr">
        <is>
          <t>BIM-core.EntityCategory</t>
        </is>
      </c>
      <c r="H1439" s="6" t="n"/>
    </row>
    <row r="1440">
      <c r="A1440" t="inlineStr">
        <is>
          <t>REQ_PCF_PRODUCT_REGION_ENERGY_APPLICATION</t>
        </is>
      </c>
      <c r="B1440" t="inlineStr">
        <is>
          <t>Entity</t>
        </is>
      </c>
      <c r="C1440" t="inlineStr">
        <is>
          <t>EntityPersonalData</t>
        </is>
      </c>
      <c r="D1440" s="6" t="inlineStr">
        <is>
          <t>No Personal Data</t>
        </is>
      </c>
      <c r="E1440" s="6" t="inlineStr">
        <is>
          <t>No Personal Data</t>
        </is>
      </c>
      <c r="F1440" s="12" t="inlineStr">
        <is>
          <t>PASS</t>
        </is>
      </c>
      <c r="G1440" t="inlineStr">
        <is>
          <t>BIM-core.EntityPersonalData</t>
        </is>
      </c>
      <c r="H1440" s="6" t="n"/>
    </row>
    <row r="1441">
      <c r="A1441" t="inlineStr">
        <is>
          <t>REQ_PCF_PRODUCT_REGION_ENERGY_APPLICATION</t>
        </is>
      </c>
      <c r="B1441" t="inlineStr">
        <is>
          <t>Entity</t>
        </is>
      </c>
      <c r="C1441" t="inlineStr">
        <is>
          <t>FinancialPersonalData</t>
        </is>
      </c>
      <c r="D1441" s="6" t="inlineStr">
        <is>
          <t>No Financial Personal Data</t>
        </is>
      </c>
      <c r="E1441" s="6" t="inlineStr">
        <is>
          <t>No Financial Personal Data</t>
        </is>
      </c>
      <c r="F1441" s="12" t="inlineStr">
        <is>
          <t>PASS</t>
        </is>
      </c>
      <c r="G1441" t="inlineStr">
        <is>
          <t>BIM-core.FinancialPersonalData</t>
        </is>
      </c>
      <c r="H1441" s="6" t="n"/>
    </row>
    <row r="1442">
      <c r="A1442" t="inlineStr">
        <is>
          <t>REQ_PCF_PRODUCT_REGION_ENERGY_APPLICATION</t>
        </is>
      </c>
      <c r="B1442" t="inlineStr">
        <is>
          <t>Entity</t>
        </is>
      </c>
      <c r="C1442" t="inlineStr">
        <is>
          <t>MTED_EDaM_Mapping_Note</t>
        </is>
      </c>
      <c r="D1442" s="6" t="inlineStr">
        <is>
          <t>{\rtf1\ansi\ansicpg1252\deff0\nouicompat\deflang2057{\fonttbl{\f0\fnil\fcharset0 Times New Roman;}}</t>
        </is>
      </c>
      <c r="E1442" s="6" t="inlineStr">
        <is>
          <t>{\rtf1\ansi\ansicpg1252\deff0\nouicompat\deflang2057{\fonttbl{\f0\fnil\fcharset0 Times New Roman;}}</t>
        </is>
      </c>
      <c r="F1442" s="12" t="inlineStr">
        <is>
          <t>PASS</t>
        </is>
      </c>
      <c r="G1442" t="inlineStr">
        <is>
          <t>BIM-core.MTED_EDaM_Mapping_Note</t>
        </is>
      </c>
      <c r="H1442" s="6" t="n"/>
    </row>
    <row r="1443">
      <c r="A1443" t="inlineStr">
        <is>
          <t>REQ_PCF_PRODUCT_REGION_ENERGY_APPLICATION</t>
        </is>
      </c>
      <c r="B1443" t="inlineStr">
        <is>
          <t>Entity</t>
        </is>
      </c>
      <c r="C1443" t="inlineStr">
        <is>
          <t>MappingLevel</t>
        </is>
      </c>
      <c r="D1443" s="6" t="inlineStr">
        <is>
          <t>Application Specific</t>
        </is>
      </c>
      <c r="E1443" s="6" t="inlineStr">
        <is>
          <t>Application Specific</t>
        </is>
      </c>
      <c r="F1443" s="12" t="inlineStr">
        <is>
          <t>PASS</t>
        </is>
      </c>
      <c r="G1443" t="inlineStr">
        <is>
          <t>BIM-core.MappingLevel</t>
        </is>
      </c>
      <c r="H1443" s="6" t="n"/>
    </row>
    <row r="1444">
      <c r="A1444" t="inlineStr">
        <is>
          <t>REQ_PCF_PRODUCT_REGION_ENERGY_APPLICATION</t>
        </is>
      </c>
      <c r="B1444" t="inlineStr">
        <is>
          <t>Entity</t>
        </is>
      </c>
      <c r="C1444" t="inlineStr">
        <is>
          <t>PD_ObjectID</t>
        </is>
      </c>
      <c r="D1444" s="6" t="inlineStr">
        <is>
          <t>0291366A-FCDD-4BAB-AD18-275F12EFFA15</t>
        </is>
      </c>
      <c r="E1444" s="6" t="inlineStr">
        <is>
          <t>0291366A-FCDD-4BAB-AD18-275F12EFFA15</t>
        </is>
      </c>
      <c r="F1444" s="12" t="inlineStr">
        <is>
          <t>PASS</t>
        </is>
      </c>
      <c r="H1444" s="6" t="n"/>
    </row>
    <row r="1445">
      <c r="A1445" t="inlineStr">
        <is>
          <t>REQ_PCF_PRODUCT_REGION_ENERGY_APPLICATION</t>
        </is>
      </c>
      <c r="B1445" t="inlineStr">
        <is>
          <t>Entity</t>
        </is>
      </c>
      <c r="C1445" t="inlineStr">
        <is>
          <t>PD_SourceExtraction</t>
        </is>
      </c>
      <c r="D1445" s="6" t="inlineStr">
        <is>
          <t>46603045</t>
        </is>
      </c>
      <c r="E1445" s="6" t="inlineStr">
        <is>
          <t>46603045</t>
        </is>
      </c>
      <c r="F1445" s="12" t="inlineStr">
        <is>
          <t>PASS</t>
        </is>
      </c>
      <c r="H1445" s="6" t="n"/>
    </row>
    <row r="1446">
      <c r="A1446" t="inlineStr">
        <is>
          <t>REQ_PCF_PRODUCT_REGION_ENERGY_APPLICATION</t>
        </is>
      </c>
      <c r="B1446" t="inlineStr">
        <is>
          <t>Entity</t>
        </is>
      </c>
      <c r="C1446" t="inlineStr">
        <is>
          <t>PD_SourceModel</t>
        </is>
      </c>
      <c r="D1446" s="6" t="inlineStr">
        <is>
          <t>05_Carbon_Calculator</t>
        </is>
      </c>
      <c r="E1446" s="6" t="inlineStr">
        <is>
          <t>05_Carbon_Calculator</t>
        </is>
      </c>
      <c r="F1446" s="12" t="inlineStr">
        <is>
          <t>PASS</t>
        </is>
      </c>
      <c r="H1446" s="6" t="n"/>
    </row>
    <row r="1447">
      <c r="A1447" t="inlineStr">
        <is>
          <t>REQ_PCF_PRODUCT_REGION_ENERGY_APPLICATION</t>
        </is>
      </c>
      <c r="B1447" t="inlineStr">
        <is>
          <t>Entity</t>
        </is>
      </c>
      <c r="C1447" t="inlineStr">
        <is>
          <t>SensitivePersonalData</t>
        </is>
      </c>
      <c r="D1447" s="6" t="inlineStr">
        <is>
          <t>No Sensitive Personal Data</t>
        </is>
      </c>
      <c r="E1447" s="6" t="inlineStr">
        <is>
          <t>No Sensitive Personal Data</t>
        </is>
      </c>
      <c r="F1447" s="12" t="inlineStr">
        <is>
          <t>PASS</t>
        </is>
      </c>
      <c r="G1447" t="inlineStr">
        <is>
          <t>BIM-core.SensitivePersonalData</t>
        </is>
      </c>
      <c r="H1447" s="6" t="n"/>
    </row>
    <row r="1448">
      <c r="A1448" t="inlineStr">
        <is>
          <t>REQ_PCF_PRODUCT_REGION_INTENDED_USE</t>
        </is>
      </c>
      <c r="B1448" t="inlineStr">
        <is>
          <t>Entity</t>
        </is>
      </c>
      <c r="C1448" t="inlineStr">
        <is>
          <t>CommerciallySensitiveInformation</t>
        </is>
      </c>
      <c r="D1448" s="6" t="inlineStr">
        <is>
          <t>No Commercially Sensitive Information</t>
        </is>
      </c>
      <c r="E1448" s="6" t="inlineStr">
        <is>
          <t>No Commercially Sensitive Information</t>
        </is>
      </c>
      <c r="F1448" s="12" t="inlineStr">
        <is>
          <t>PASS</t>
        </is>
      </c>
      <c r="G1448" t="inlineStr">
        <is>
          <t>BIM-core.CommerciallySensitiveInformation</t>
        </is>
      </c>
      <c r="H1448" s="6" t="n"/>
    </row>
    <row r="1449">
      <c r="A1449" t="inlineStr">
        <is>
          <t>REQ_PCF_PRODUCT_REGION_INTENDED_USE</t>
        </is>
      </c>
      <c r="B1449" t="inlineStr">
        <is>
          <t>Entity</t>
        </is>
      </c>
      <c r="C1449" t="inlineStr">
        <is>
          <t>Criticality</t>
        </is>
      </c>
      <c r="D1449" s="6" t="inlineStr">
        <is>
          <t>No Critical Data</t>
        </is>
      </c>
      <c r="E1449" s="6" t="inlineStr">
        <is>
          <t>No Critical Data</t>
        </is>
      </c>
      <c r="F1449" s="12" t="inlineStr">
        <is>
          <t>PASS</t>
        </is>
      </c>
      <c r="G1449" t="inlineStr">
        <is>
          <t>BIM-core.Criticality</t>
        </is>
      </c>
      <c r="H1449" s="6" t="n"/>
    </row>
    <row r="1450">
      <c r="A1450" t="inlineStr">
        <is>
          <t>REQ_PCF_PRODUCT_REGION_INTENDED_USE</t>
        </is>
      </c>
      <c r="B1450" t="inlineStr">
        <is>
          <t>Entity</t>
        </is>
      </c>
      <c r="C1450" t="inlineStr">
        <is>
          <t>DataCategory</t>
        </is>
      </c>
      <c r="D1450" s="6" t="inlineStr">
        <is>
          <t>Structured</t>
        </is>
      </c>
      <c r="E1450" s="6" t="inlineStr">
        <is>
          <t>Structured</t>
        </is>
      </c>
      <c r="F1450" s="12" t="inlineStr">
        <is>
          <t>PASS</t>
        </is>
      </c>
      <c r="G1450" t="inlineStr">
        <is>
          <t>BIM-core.DataCategory</t>
        </is>
      </c>
      <c r="H1450" s="6" t="n"/>
    </row>
    <row r="1451">
      <c r="A1451" t="inlineStr">
        <is>
          <t>REQ_PCF_PRODUCT_REGION_INTENDED_USE</t>
        </is>
      </c>
      <c r="B1451" t="inlineStr">
        <is>
          <t>Entity</t>
        </is>
      </c>
      <c r="C1451" t="inlineStr">
        <is>
          <t>DataConfidentiality</t>
        </is>
      </c>
      <c r="D1451" s="6" t="inlineStr">
        <is>
          <t>Internal</t>
        </is>
      </c>
      <c r="E1451" s="6" t="inlineStr">
        <is>
          <t>Internal</t>
        </is>
      </c>
      <c r="F1451" s="12" t="inlineStr">
        <is>
          <t>PASS</t>
        </is>
      </c>
      <c r="G1451" t="inlineStr">
        <is>
          <t>BIM-core.DataConfidentiality</t>
        </is>
      </c>
      <c r="H1451" s="6" t="n"/>
    </row>
    <row r="1452">
      <c r="A1452" t="inlineStr">
        <is>
          <t>REQ_PCF_PRODUCT_REGION_INTENDED_USE</t>
        </is>
      </c>
      <c r="B1452" t="inlineStr">
        <is>
          <t>Entity</t>
        </is>
      </c>
      <c r="C1452" t="inlineStr">
        <is>
          <t>DesignStatus</t>
        </is>
      </c>
      <c r="D1452" s="6" t="inlineStr">
        <is>
          <t>Approved</t>
        </is>
      </c>
      <c r="E1452" s="6" t="inlineStr">
        <is>
          <t>Approved</t>
        </is>
      </c>
      <c r="F1452" s="12" t="inlineStr">
        <is>
          <t>PASS</t>
        </is>
      </c>
      <c r="G1452" t="inlineStr">
        <is>
          <t>BIM-core.DesignStatus</t>
        </is>
      </c>
      <c r="H1452" s="6" t="n"/>
    </row>
    <row r="1453">
      <c r="A1453" t="inlineStr">
        <is>
          <t>REQ_PCF_PRODUCT_REGION_INTENDED_USE</t>
        </is>
      </c>
      <c r="B1453" t="inlineStr">
        <is>
          <t>Entity</t>
        </is>
      </c>
      <c r="C1453" t="inlineStr">
        <is>
          <t>EntityCategory</t>
        </is>
      </c>
      <c r="D1453" s="6" t="inlineStr">
        <is>
          <t>Transaction</t>
        </is>
      </c>
      <c r="E1453" s="6" t="inlineStr">
        <is>
          <t>Transaction</t>
        </is>
      </c>
      <c r="F1453" s="12" t="inlineStr">
        <is>
          <t>PASS</t>
        </is>
      </c>
      <c r="G1453" t="inlineStr">
        <is>
          <t>BIM-core.EntityCategory</t>
        </is>
      </c>
      <c r="H1453" s="6" t="n"/>
    </row>
    <row r="1454">
      <c r="A1454" t="inlineStr">
        <is>
          <t>REQ_PCF_PRODUCT_REGION_INTENDED_USE</t>
        </is>
      </c>
      <c r="B1454" t="inlineStr">
        <is>
          <t>Entity</t>
        </is>
      </c>
      <c r="C1454" t="inlineStr">
        <is>
          <t>EntityPersonalData</t>
        </is>
      </c>
      <c r="D1454" s="6" t="inlineStr">
        <is>
          <t>No Personal Data</t>
        </is>
      </c>
      <c r="E1454" s="6" t="inlineStr">
        <is>
          <t>No Personal Data</t>
        </is>
      </c>
      <c r="F1454" s="12" t="inlineStr">
        <is>
          <t>PASS</t>
        </is>
      </c>
      <c r="G1454" t="inlineStr">
        <is>
          <t>BIM-core.EntityPersonalData</t>
        </is>
      </c>
      <c r="H1454" s="6" t="n"/>
    </row>
    <row r="1455">
      <c r="A1455" t="inlineStr">
        <is>
          <t>REQ_PCF_PRODUCT_REGION_INTENDED_USE</t>
        </is>
      </c>
      <c r="B1455" t="inlineStr">
        <is>
          <t>Entity</t>
        </is>
      </c>
      <c r="C1455" t="inlineStr">
        <is>
          <t>FinancialPersonalData</t>
        </is>
      </c>
      <c r="D1455" s="6" t="inlineStr">
        <is>
          <t>No Financial Personal Data</t>
        </is>
      </c>
      <c r="E1455" s="6" t="inlineStr">
        <is>
          <t>No Financial Personal Data</t>
        </is>
      </c>
      <c r="F1455" s="12" t="inlineStr">
        <is>
          <t>PASS</t>
        </is>
      </c>
      <c r="G1455" t="inlineStr">
        <is>
          <t>BIM-core.FinancialPersonalData</t>
        </is>
      </c>
      <c r="H1455" s="6" t="n"/>
    </row>
    <row r="1456">
      <c r="A1456" t="inlineStr">
        <is>
          <t>REQ_PCF_PRODUCT_REGION_INTENDED_USE</t>
        </is>
      </c>
      <c r="B1456" t="inlineStr">
        <is>
          <t>Entity</t>
        </is>
      </c>
      <c r="C1456" t="inlineStr">
        <is>
          <t>MTED_EDaM_Mapping_Note</t>
        </is>
      </c>
      <c r="D1456" s="6" t="inlineStr">
        <is>
          <t>{\rtf1\ansi\ansicpg1252\deff0\nouicompat\deflang2057{\fonttbl{\f0\fnil\fcharset0 Times New Roman;}}</t>
        </is>
      </c>
      <c r="E1456" s="6" t="inlineStr">
        <is>
          <t>{\rtf1\ansi\ansicpg1252\deff0\nouicompat\deflang2057{\fonttbl{\f0\fnil\fcharset0 Times New Roman;}}</t>
        </is>
      </c>
      <c r="F1456" s="12" t="inlineStr">
        <is>
          <t>PASS</t>
        </is>
      </c>
      <c r="G1456" t="inlineStr">
        <is>
          <t>BIM-core.MTED_EDaM_Mapping_Note</t>
        </is>
      </c>
      <c r="H1456" s="6" t="n"/>
    </row>
    <row r="1457">
      <c r="A1457" t="inlineStr">
        <is>
          <t>REQ_PCF_PRODUCT_REGION_INTENDED_USE</t>
        </is>
      </c>
      <c r="B1457" t="inlineStr">
        <is>
          <t>Entity</t>
        </is>
      </c>
      <c r="C1457" t="inlineStr">
        <is>
          <t>MappingLevel</t>
        </is>
      </c>
      <c r="D1457" s="6" t="inlineStr">
        <is>
          <t>Application Specific</t>
        </is>
      </c>
      <c r="E1457" s="6" t="inlineStr">
        <is>
          <t>Application Specific</t>
        </is>
      </c>
      <c r="F1457" s="12" t="inlineStr">
        <is>
          <t>PASS</t>
        </is>
      </c>
      <c r="G1457" t="inlineStr">
        <is>
          <t>BIM-core.MappingLevel</t>
        </is>
      </c>
      <c r="H1457" s="6" t="n"/>
    </row>
    <row r="1458">
      <c r="A1458" t="inlineStr">
        <is>
          <t>REQ_PCF_PRODUCT_REGION_INTENDED_USE</t>
        </is>
      </c>
      <c r="B1458" t="inlineStr">
        <is>
          <t>Entity</t>
        </is>
      </c>
      <c r="C1458" t="inlineStr">
        <is>
          <t>PD_ObjectID</t>
        </is>
      </c>
      <c r="D1458" s="6" t="inlineStr">
        <is>
          <t>1D0094A3-481B-45C1-8C55-454F2FE35904</t>
        </is>
      </c>
      <c r="E1458" s="6" t="inlineStr">
        <is>
          <t>1D0094A3-481B-45C1-8C55-454F2FE35904</t>
        </is>
      </c>
      <c r="F1458" s="12" t="inlineStr">
        <is>
          <t>PASS</t>
        </is>
      </c>
      <c r="H1458" s="6" t="n"/>
    </row>
    <row r="1459">
      <c r="A1459" t="inlineStr">
        <is>
          <t>REQ_PCF_PRODUCT_REGION_INTENDED_USE</t>
        </is>
      </c>
      <c r="B1459" t="inlineStr">
        <is>
          <t>Entity</t>
        </is>
      </c>
      <c r="C1459" t="inlineStr">
        <is>
          <t>PD_SourceExtraction</t>
        </is>
      </c>
      <c r="D1459" s="6" t="inlineStr">
        <is>
          <t>46603045</t>
        </is>
      </c>
      <c r="E1459" s="6" t="inlineStr">
        <is>
          <t>46603045</t>
        </is>
      </c>
      <c r="F1459" s="12" t="inlineStr">
        <is>
          <t>PASS</t>
        </is>
      </c>
      <c r="H1459" s="6" t="n"/>
    </row>
    <row r="1460">
      <c r="A1460" t="inlineStr">
        <is>
          <t>REQ_PCF_PRODUCT_REGION_INTENDED_USE</t>
        </is>
      </c>
      <c r="B1460" t="inlineStr">
        <is>
          <t>Entity</t>
        </is>
      </c>
      <c r="C1460" t="inlineStr">
        <is>
          <t>PD_SourceModel</t>
        </is>
      </c>
      <c r="D1460" s="6" t="inlineStr">
        <is>
          <t>05_Carbon_Calculator</t>
        </is>
      </c>
      <c r="E1460" s="6" t="inlineStr">
        <is>
          <t>05_Carbon_Calculator</t>
        </is>
      </c>
      <c r="F1460" s="12" t="inlineStr">
        <is>
          <t>PASS</t>
        </is>
      </c>
      <c r="H1460" s="6" t="n"/>
    </row>
    <row r="1461">
      <c r="A1461" t="inlineStr">
        <is>
          <t>REQ_PCF_PRODUCT_REGION_INTENDED_USE</t>
        </is>
      </c>
      <c r="B1461" t="inlineStr">
        <is>
          <t>Entity</t>
        </is>
      </c>
      <c r="C1461" t="inlineStr">
        <is>
          <t>SensitivePersonalData</t>
        </is>
      </c>
      <c r="D1461" s="6" t="inlineStr">
        <is>
          <t>No Sensitive Personal Data</t>
        </is>
      </c>
      <c r="E1461" s="6" t="inlineStr">
        <is>
          <t>No Sensitive Personal Data</t>
        </is>
      </c>
      <c r="F1461" s="12" t="inlineStr">
        <is>
          <t>PASS</t>
        </is>
      </c>
      <c r="G1461" t="inlineStr">
        <is>
          <t>BIM-core.SensitivePersonalData</t>
        </is>
      </c>
      <c r="H1461" s="6" t="n"/>
    </row>
    <row r="1462">
      <c r="A1462" t="inlineStr">
        <is>
          <t>REQ_PCF_PRODUCT_REGION_UOM</t>
        </is>
      </c>
      <c r="B1462" t="inlineStr">
        <is>
          <t>Entity</t>
        </is>
      </c>
      <c r="C1462" t="inlineStr">
        <is>
          <t>CommerciallySensitiveInformation</t>
        </is>
      </c>
      <c r="D1462" s="6" t="inlineStr">
        <is>
          <t>No Commercially Sensitive Information</t>
        </is>
      </c>
      <c r="E1462" s="6" t="inlineStr">
        <is>
          <t>No Commercially Sensitive Information</t>
        </is>
      </c>
      <c r="F1462" s="12" t="inlineStr">
        <is>
          <t>PASS</t>
        </is>
      </c>
      <c r="G1462" t="inlineStr">
        <is>
          <t>BIM-core.CommerciallySensitiveInformation</t>
        </is>
      </c>
      <c r="H1462" s="6" t="n"/>
    </row>
    <row r="1463">
      <c r="A1463" t="inlineStr">
        <is>
          <t>REQ_PCF_PRODUCT_REGION_UOM</t>
        </is>
      </c>
      <c r="B1463" t="inlineStr">
        <is>
          <t>Entity</t>
        </is>
      </c>
      <c r="C1463" t="inlineStr">
        <is>
          <t>Criticality</t>
        </is>
      </c>
      <c r="D1463" s="6" t="inlineStr">
        <is>
          <t>No Critical Data</t>
        </is>
      </c>
      <c r="E1463" s="6" t="inlineStr">
        <is>
          <t>No Critical Data</t>
        </is>
      </c>
      <c r="F1463" s="12" t="inlineStr">
        <is>
          <t>PASS</t>
        </is>
      </c>
      <c r="G1463" t="inlineStr">
        <is>
          <t>BIM-core.Criticality</t>
        </is>
      </c>
      <c r="H1463" s="6" t="n"/>
    </row>
    <row r="1464">
      <c r="A1464" t="inlineStr">
        <is>
          <t>REQ_PCF_PRODUCT_REGION_UOM</t>
        </is>
      </c>
      <c r="B1464" t="inlineStr">
        <is>
          <t>Entity</t>
        </is>
      </c>
      <c r="C1464" t="inlineStr">
        <is>
          <t>DataCategory</t>
        </is>
      </c>
      <c r="D1464" s="6" t="inlineStr">
        <is>
          <t>Structured</t>
        </is>
      </c>
      <c r="E1464" s="6" t="inlineStr">
        <is>
          <t>Structured</t>
        </is>
      </c>
      <c r="F1464" s="12" t="inlineStr">
        <is>
          <t>PASS</t>
        </is>
      </c>
      <c r="G1464" t="inlineStr">
        <is>
          <t>BIM-core.DataCategory</t>
        </is>
      </c>
      <c r="H1464" s="6" t="n"/>
    </row>
    <row r="1465">
      <c r="A1465" t="inlineStr">
        <is>
          <t>REQ_PCF_PRODUCT_REGION_UOM</t>
        </is>
      </c>
      <c r="B1465" t="inlineStr">
        <is>
          <t>Entity</t>
        </is>
      </c>
      <c r="C1465" t="inlineStr">
        <is>
          <t>DataConfidentiality</t>
        </is>
      </c>
      <c r="D1465" s="6" t="inlineStr">
        <is>
          <t>Internal</t>
        </is>
      </c>
      <c r="E1465" s="6" t="inlineStr">
        <is>
          <t>Internal</t>
        </is>
      </c>
      <c r="F1465" s="12" t="inlineStr">
        <is>
          <t>PASS</t>
        </is>
      </c>
      <c r="G1465" t="inlineStr">
        <is>
          <t>BIM-core.DataConfidentiality</t>
        </is>
      </c>
      <c r="H1465" s="6" t="n"/>
    </row>
    <row r="1466">
      <c r="A1466" t="inlineStr">
        <is>
          <t>REQ_PCF_PRODUCT_REGION_UOM</t>
        </is>
      </c>
      <c r="B1466" t="inlineStr">
        <is>
          <t>Entity</t>
        </is>
      </c>
      <c r="C1466" t="inlineStr">
        <is>
          <t>DesignStatus</t>
        </is>
      </c>
      <c r="D1466" s="6" t="inlineStr">
        <is>
          <t>Approved</t>
        </is>
      </c>
      <c r="E1466" s="6" t="inlineStr">
        <is>
          <t>Approved</t>
        </is>
      </c>
      <c r="F1466" s="12" t="inlineStr">
        <is>
          <t>PASS</t>
        </is>
      </c>
      <c r="G1466" t="inlineStr">
        <is>
          <t>BIM-core.DesignStatus</t>
        </is>
      </c>
      <c r="H1466" s="6" t="n"/>
    </row>
    <row r="1467">
      <c r="A1467" t="inlineStr">
        <is>
          <t>REQ_PCF_PRODUCT_REGION_UOM</t>
        </is>
      </c>
      <c r="B1467" t="inlineStr">
        <is>
          <t>Entity</t>
        </is>
      </c>
      <c r="C1467" t="inlineStr">
        <is>
          <t>EntityCategory</t>
        </is>
      </c>
      <c r="D1467" s="6" t="inlineStr">
        <is>
          <t>Transaction</t>
        </is>
      </c>
      <c r="E1467" s="6" t="inlineStr">
        <is>
          <t>Transaction</t>
        </is>
      </c>
      <c r="F1467" s="12" t="inlineStr">
        <is>
          <t>PASS</t>
        </is>
      </c>
      <c r="G1467" t="inlineStr">
        <is>
          <t>BIM-core.EntityCategory</t>
        </is>
      </c>
      <c r="H1467" s="6" t="n"/>
    </row>
    <row r="1468">
      <c r="A1468" t="inlineStr">
        <is>
          <t>REQ_PCF_PRODUCT_REGION_UOM</t>
        </is>
      </c>
      <c r="B1468" t="inlineStr">
        <is>
          <t>Entity</t>
        </is>
      </c>
      <c r="C1468" t="inlineStr">
        <is>
          <t>EntityPersonalData</t>
        </is>
      </c>
      <c r="D1468" s="6" t="inlineStr">
        <is>
          <t>No Personal Data</t>
        </is>
      </c>
      <c r="E1468" s="6" t="inlineStr">
        <is>
          <t>No Personal Data</t>
        </is>
      </c>
      <c r="F1468" s="12" t="inlineStr">
        <is>
          <t>PASS</t>
        </is>
      </c>
      <c r="G1468" t="inlineStr">
        <is>
          <t>BIM-core.EntityPersonalData</t>
        </is>
      </c>
      <c r="H1468" s="6" t="n"/>
    </row>
    <row r="1469">
      <c r="A1469" t="inlineStr">
        <is>
          <t>REQ_PCF_PRODUCT_REGION_UOM</t>
        </is>
      </c>
      <c r="B1469" t="inlineStr">
        <is>
          <t>Entity</t>
        </is>
      </c>
      <c r="C1469" t="inlineStr">
        <is>
          <t>FinancialPersonalData</t>
        </is>
      </c>
      <c r="D1469" s="6" t="inlineStr">
        <is>
          <t>No Financial Personal Data</t>
        </is>
      </c>
      <c r="E1469" s="6" t="inlineStr">
        <is>
          <t>No Financial Personal Data</t>
        </is>
      </c>
      <c r="F1469" s="12" t="inlineStr">
        <is>
          <t>PASS</t>
        </is>
      </c>
      <c r="G1469" t="inlineStr">
        <is>
          <t>BIM-core.FinancialPersonalData</t>
        </is>
      </c>
      <c r="H1469" s="6" t="n"/>
    </row>
    <row r="1470">
      <c r="A1470" t="inlineStr">
        <is>
          <t>REQ_PCF_PRODUCT_REGION_UOM</t>
        </is>
      </c>
      <c r="B1470" t="inlineStr">
        <is>
          <t>Entity</t>
        </is>
      </c>
      <c r="C1470" t="inlineStr">
        <is>
          <t>MTED_EDaM_Mapping_Note</t>
        </is>
      </c>
      <c r="D1470" s="6" t="inlineStr">
        <is>
          <t>{\rtf1\ansi\ansicpg1252\deff0\nouicompat\deflang2057{\fonttbl{\f0\fnil\fcharset0 Times New Roman;}}</t>
        </is>
      </c>
      <c r="E1470" s="6" t="inlineStr">
        <is>
          <t>{\rtf1\ansi\ansicpg1252\deff0\nouicompat\deflang2057{\fonttbl{\f0\fnil\fcharset0 Times New Roman;}}</t>
        </is>
      </c>
      <c r="F1470" s="12" t="inlineStr">
        <is>
          <t>PASS</t>
        </is>
      </c>
      <c r="G1470" t="inlineStr">
        <is>
          <t>BIM-core.MTED_EDaM_Mapping_Note</t>
        </is>
      </c>
      <c r="H1470" s="6" t="n"/>
    </row>
    <row r="1471">
      <c r="A1471" t="inlineStr">
        <is>
          <t>REQ_PCF_PRODUCT_REGION_UOM</t>
        </is>
      </c>
      <c r="B1471" t="inlineStr">
        <is>
          <t>Entity</t>
        </is>
      </c>
      <c r="C1471" t="inlineStr">
        <is>
          <t>MappingLevel</t>
        </is>
      </c>
      <c r="D1471" s="6" t="inlineStr">
        <is>
          <t>Application Specific</t>
        </is>
      </c>
      <c r="E1471" s="6" t="inlineStr">
        <is>
          <t>Application Specific</t>
        </is>
      </c>
      <c r="F1471" s="12" t="inlineStr">
        <is>
          <t>PASS</t>
        </is>
      </c>
      <c r="G1471" t="inlineStr">
        <is>
          <t>BIM-core.MappingLevel</t>
        </is>
      </c>
      <c r="H1471" s="6" t="n"/>
    </row>
    <row r="1472">
      <c r="A1472" t="inlineStr">
        <is>
          <t>REQ_PCF_PRODUCT_REGION_UOM</t>
        </is>
      </c>
      <c r="B1472" t="inlineStr">
        <is>
          <t>Entity</t>
        </is>
      </c>
      <c r="C1472" t="inlineStr">
        <is>
          <t>PD_ObjectID</t>
        </is>
      </c>
      <c r="D1472" s="6" t="inlineStr">
        <is>
          <t>E7EC10F0-37A7-409E-A5E8-4BAD8E0591A1</t>
        </is>
      </c>
      <c r="E1472" s="6" t="inlineStr">
        <is>
          <t>E7EC10F0-37A7-409E-A5E8-4BAD8E0591A1</t>
        </is>
      </c>
      <c r="F1472" s="12" t="inlineStr">
        <is>
          <t>PASS</t>
        </is>
      </c>
      <c r="H1472" s="6" t="n"/>
    </row>
    <row r="1473">
      <c r="A1473" t="inlineStr">
        <is>
          <t>REQ_PCF_PRODUCT_REGION_UOM</t>
        </is>
      </c>
      <c r="B1473" t="inlineStr">
        <is>
          <t>Entity</t>
        </is>
      </c>
      <c r="C1473" t="inlineStr">
        <is>
          <t>PD_SourceExtraction</t>
        </is>
      </c>
      <c r="D1473" s="6" t="inlineStr">
        <is>
          <t>46603045</t>
        </is>
      </c>
      <c r="E1473" s="6" t="inlineStr">
        <is>
          <t>46603045</t>
        </is>
      </c>
      <c r="F1473" s="12" t="inlineStr">
        <is>
          <t>PASS</t>
        </is>
      </c>
      <c r="H1473" s="6" t="n"/>
    </row>
    <row r="1474">
      <c r="A1474" t="inlineStr">
        <is>
          <t>REQ_PCF_PRODUCT_REGION_UOM</t>
        </is>
      </c>
      <c r="B1474" t="inlineStr">
        <is>
          <t>Entity</t>
        </is>
      </c>
      <c r="C1474" t="inlineStr">
        <is>
          <t>PD_SourceModel</t>
        </is>
      </c>
      <c r="D1474" s="6" t="inlineStr">
        <is>
          <t>05_Carbon_Calculator</t>
        </is>
      </c>
      <c r="E1474" s="6" t="inlineStr">
        <is>
          <t>05_Carbon_Calculator</t>
        </is>
      </c>
      <c r="F1474" s="12" t="inlineStr">
        <is>
          <t>PASS</t>
        </is>
      </c>
      <c r="H1474" s="6" t="n"/>
    </row>
    <row r="1475">
      <c r="A1475" t="inlineStr">
        <is>
          <t>REQ_PCF_PRODUCT_REGION_UOM</t>
        </is>
      </c>
      <c r="B1475" t="inlineStr">
        <is>
          <t>Entity</t>
        </is>
      </c>
      <c r="C1475" t="inlineStr">
        <is>
          <t>SensitivePersonalData</t>
        </is>
      </c>
      <c r="D1475" s="6" t="inlineStr">
        <is>
          <t>No Sensitive Personal Data</t>
        </is>
      </c>
      <c r="E1475" s="6" t="inlineStr">
        <is>
          <t>No Sensitive Personal Data</t>
        </is>
      </c>
      <c r="F1475" s="12" t="inlineStr">
        <is>
          <t>PASS</t>
        </is>
      </c>
      <c r="G1475" t="inlineStr">
        <is>
          <t>BIM-core.SensitivePersonalData</t>
        </is>
      </c>
      <c r="H1475" s="6" t="n"/>
    </row>
    <row r="1476">
      <c r="A1476" t="inlineStr">
        <is>
          <t>REQUEST_APPROVER_COMMENT</t>
        </is>
      </c>
      <c r="B1476" t="inlineStr">
        <is>
          <t>Entity</t>
        </is>
      </c>
      <c r="C1476" t="inlineStr">
        <is>
          <t>CommerciallySensitiveInformation</t>
        </is>
      </c>
      <c r="D1476" s="6" t="inlineStr">
        <is>
          <t>No Commercially Sensitive Information</t>
        </is>
      </c>
      <c r="E1476" s="6" t="inlineStr">
        <is>
          <t>No Commercially Sensitive Information</t>
        </is>
      </c>
      <c r="F1476" s="12" t="inlineStr">
        <is>
          <t>PASS</t>
        </is>
      </c>
      <c r="G1476" t="inlineStr">
        <is>
          <t>BIM-core.CommerciallySensitiveInformation</t>
        </is>
      </c>
      <c r="H1476" s="6" t="n"/>
    </row>
    <row r="1477">
      <c r="A1477" t="inlineStr">
        <is>
          <t>REQUEST_APPROVER_COMMENT</t>
        </is>
      </c>
      <c r="B1477" t="inlineStr">
        <is>
          <t>Entity</t>
        </is>
      </c>
      <c r="C1477" t="inlineStr">
        <is>
          <t>Criticality</t>
        </is>
      </c>
      <c r="D1477" s="6" t="inlineStr">
        <is>
          <t>No Critical Data</t>
        </is>
      </c>
      <c r="E1477" s="6" t="inlineStr">
        <is>
          <t>No Critical Data</t>
        </is>
      </c>
      <c r="F1477" s="12" t="inlineStr">
        <is>
          <t>PASS</t>
        </is>
      </c>
      <c r="G1477" t="inlineStr">
        <is>
          <t>BIM-core.Criticality</t>
        </is>
      </c>
      <c r="H1477" s="6" t="n"/>
    </row>
    <row r="1478">
      <c r="A1478" t="inlineStr">
        <is>
          <t>REQUEST_APPROVER_COMMENT</t>
        </is>
      </c>
      <c r="B1478" t="inlineStr">
        <is>
          <t>Entity</t>
        </is>
      </c>
      <c r="C1478" t="inlineStr">
        <is>
          <t>DataCategory</t>
        </is>
      </c>
      <c r="D1478" s="6" t="inlineStr">
        <is>
          <t>Structured</t>
        </is>
      </c>
      <c r="E1478" s="6" t="inlineStr">
        <is>
          <t>Structured</t>
        </is>
      </c>
      <c r="F1478" s="12" t="inlineStr">
        <is>
          <t>PASS</t>
        </is>
      </c>
      <c r="G1478" t="inlineStr">
        <is>
          <t>BIM-core.DataCategory</t>
        </is>
      </c>
      <c r="H1478" s="6" t="n"/>
    </row>
    <row r="1479">
      <c r="A1479" t="inlineStr">
        <is>
          <t>REQUEST_APPROVER_COMMENT</t>
        </is>
      </c>
      <c r="B1479" t="inlineStr">
        <is>
          <t>Entity</t>
        </is>
      </c>
      <c r="C1479" t="inlineStr">
        <is>
          <t>DataConfidentiality</t>
        </is>
      </c>
      <c r="D1479" s="6" t="inlineStr">
        <is>
          <t>Internal</t>
        </is>
      </c>
      <c r="E1479" s="6" t="inlineStr">
        <is>
          <t>Internal</t>
        </is>
      </c>
      <c r="F1479" s="12" t="inlineStr">
        <is>
          <t>PASS</t>
        </is>
      </c>
      <c r="G1479" t="inlineStr">
        <is>
          <t>BIM-core.DataConfidentiality</t>
        </is>
      </c>
      <c r="H1479" s="6" t="n"/>
    </row>
    <row r="1480">
      <c r="A1480" t="inlineStr">
        <is>
          <t>REQUEST_APPROVER_COMMENT</t>
        </is>
      </c>
      <c r="B1480" t="inlineStr">
        <is>
          <t>Entity</t>
        </is>
      </c>
      <c r="C1480" t="inlineStr">
        <is>
          <t>DesignStatus</t>
        </is>
      </c>
      <c r="D1480" s="6" t="inlineStr">
        <is>
          <t>Approved</t>
        </is>
      </c>
      <c r="E1480" s="6" t="inlineStr">
        <is>
          <t>Approved</t>
        </is>
      </c>
      <c r="F1480" s="12" t="inlineStr">
        <is>
          <t>PASS</t>
        </is>
      </c>
      <c r="G1480" t="inlineStr">
        <is>
          <t>BIM-core.DesignStatus</t>
        </is>
      </c>
      <c r="H1480" s="6" t="n"/>
    </row>
    <row r="1481">
      <c r="A1481" t="inlineStr">
        <is>
          <t>REQUEST_APPROVER_COMMENT</t>
        </is>
      </c>
      <c r="B1481" t="inlineStr">
        <is>
          <t>Entity</t>
        </is>
      </c>
      <c r="C1481" t="inlineStr">
        <is>
          <t>EntityCategory</t>
        </is>
      </c>
      <c r="D1481" s="6" t="inlineStr">
        <is>
          <t>Transaction</t>
        </is>
      </c>
      <c r="E1481" s="6" t="inlineStr">
        <is>
          <t>Transaction</t>
        </is>
      </c>
      <c r="F1481" s="12" t="inlineStr">
        <is>
          <t>PASS</t>
        </is>
      </c>
      <c r="G1481" t="inlineStr">
        <is>
          <t>BIM-core.EntityCategory</t>
        </is>
      </c>
      <c r="H1481" s="6" t="n"/>
    </row>
    <row r="1482">
      <c r="A1482" t="inlineStr">
        <is>
          <t>REQUEST_APPROVER_COMMENT</t>
        </is>
      </c>
      <c r="B1482" t="inlineStr">
        <is>
          <t>Entity</t>
        </is>
      </c>
      <c r="C1482" t="inlineStr">
        <is>
          <t>EntityPersonalData</t>
        </is>
      </c>
      <c r="D1482" s="6" t="inlineStr">
        <is>
          <t>No Personal Data</t>
        </is>
      </c>
      <c r="E1482" s="6" t="inlineStr">
        <is>
          <t>No Personal Data</t>
        </is>
      </c>
      <c r="F1482" s="12" t="inlineStr">
        <is>
          <t>PASS</t>
        </is>
      </c>
      <c r="G1482" t="inlineStr">
        <is>
          <t>BIM-core.EntityPersonalData</t>
        </is>
      </c>
      <c r="H1482" s="6" t="n"/>
    </row>
    <row r="1483">
      <c r="A1483" t="inlineStr">
        <is>
          <t>REQUEST_APPROVER_COMMENT</t>
        </is>
      </c>
      <c r="B1483" t="inlineStr">
        <is>
          <t>Entity</t>
        </is>
      </c>
      <c r="C1483" t="inlineStr">
        <is>
          <t>FinancialPersonalData</t>
        </is>
      </c>
      <c r="D1483" s="6" t="inlineStr">
        <is>
          <t>No Financial Personal Data</t>
        </is>
      </c>
      <c r="E1483" s="6" t="inlineStr">
        <is>
          <t>No Financial Personal Data</t>
        </is>
      </c>
      <c r="F1483" s="12" t="inlineStr">
        <is>
          <t>PASS</t>
        </is>
      </c>
      <c r="G1483" t="inlineStr">
        <is>
          <t>BIM-core.FinancialPersonalData</t>
        </is>
      </c>
      <c r="H1483" s="6" t="n"/>
    </row>
    <row r="1484">
      <c r="A1484" t="inlineStr">
        <is>
          <t>REQUEST_APPROVER_COMMENT</t>
        </is>
      </c>
      <c r="B1484" t="inlineStr">
        <is>
          <t>Entity</t>
        </is>
      </c>
      <c r="C1484" t="inlineStr">
        <is>
          <t>MTED_EDaM_Mapping_Note</t>
        </is>
      </c>
      <c r="D1484" s="6" t="inlineStr">
        <is>
          <t>{\rtf1\ansi\ansicpg1252\deff0\nouicompat\deflang2057{\fonttbl{\f0\fnil\fcharset0 Times New Roman;}}</t>
        </is>
      </c>
      <c r="E1484" s="6" t="inlineStr">
        <is>
          <t>{\rtf1\ansi\ansicpg1252\deff0\nouicompat\deflang2057{\fonttbl{\f0\fnil\fcharset0 Times New Roman;}}</t>
        </is>
      </c>
      <c r="F1484" s="12" t="inlineStr">
        <is>
          <t>PASS</t>
        </is>
      </c>
      <c r="G1484" t="inlineStr">
        <is>
          <t>BIM-core.MTED_EDaM_Mapping_Note</t>
        </is>
      </c>
      <c r="H1484" s="6" t="n"/>
    </row>
    <row r="1485">
      <c r="A1485" t="inlineStr">
        <is>
          <t>REQUEST_APPROVER_COMMENT</t>
        </is>
      </c>
      <c r="B1485" t="inlineStr">
        <is>
          <t>Entity</t>
        </is>
      </c>
      <c r="C1485" t="inlineStr">
        <is>
          <t>MappingLevel</t>
        </is>
      </c>
      <c r="D1485" s="6" t="inlineStr">
        <is>
          <t>Application Specific</t>
        </is>
      </c>
      <c r="E1485" s="6" t="inlineStr">
        <is>
          <t>Application Specific</t>
        </is>
      </c>
      <c r="F1485" s="12" t="inlineStr">
        <is>
          <t>PASS</t>
        </is>
      </c>
      <c r="G1485" t="inlineStr">
        <is>
          <t>BIM-core.MappingLevel</t>
        </is>
      </c>
      <c r="H1485" s="6" t="n"/>
    </row>
    <row r="1486">
      <c r="A1486" t="inlineStr">
        <is>
          <t>REQUEST_APPROVER_COMMENT</t>
        </is>
      </c>
      <c r="B1486" t="inlineStr">
        <is>
          <t>Entity</t>
        </is>
      </c>
      <c r="C1486" t="inlineStr">
        <is>
          <t>PD_ObjectID</t>
        </is>
      </c>
      <c r="D1486" s="6" t="inlineStr">
        <is>
          <t>A3EFE662-AF20-4EFF-8F1A-A0632EF07FBD</t>
        </is>
      </c>
      <c r="E1486" s="6" t="inlineStr">
        <is>
          <t>A3EFE662-AF20-4EFF-8F1A-A0632EF07FBD</t>
        </is>
      </c>
      <c r="F1486" s="12" t="inlineStr">
        <is>
          <t>PASS</t>
        </is>
      </c>
      <c r="H1486" s="6" t="n"/>
    </row>
    <row r="1487">
      <c r="A1487" t="inlineStr">
        <is>
          <t>REQUEST_APPROVER_COMMENT</t>
        </is>
      </c>
      <c r="B1487" t="inlineStr">
        <is>
          <t>Entity</t>
        </is>
      </c>
      <c r="C1487" t="inlineStr">
        <is>
          <t>PD_SourceExtraction</t>
        </is>
      </c>
      <c r="D1487" s="6" t="inlineStr">
        <is>
          <t>46603045</t>
        </is>
      </c>
      <c r="E1487" s="6" t="inlineStr">
        <is>
          <t>46603045</t>
        </is>
      </c>
      <c r="F1487" s="12" t="inlineStr">
        <is>
          <t>PASS</t>
        </is>
      </c>
      <c r="H1487" s="6" t="n"/>
    </row>
    <row r="1488">
      <c r="A1488" t="inlineStr">
        <is>
          <t>REQUEST_APPROVER_COMMENT</t>
        </is>
      </c>
      <c r="B1488" t="inlineStr">
        <is>
          <t>Entity</t>
        </is>
      </c>
      <c r="C1488" t="inlineStr">
        <is>
          <t>PD_SourceModel</t>
        </is>
      </c>
      <c r="D1488" s="6" t="inlineStr">
        <is>
          <t>05_Carbon_Calculator</t>
        </is>
      </c>
      <c r="E1488" s="6" t="inlineStr">
        <is>
          <t>05_Carbon_Calculator</t>
        </is>
      </c>
      <c r="F1488" s="12" t="inlineStr">
        <is>
          <t>PASS</t>
        </is>
      </c>
      <c r="H1488" s="6" t="n"/>
    </row>
    <row r="1489">
      <c r="A1489" t="inlineStr">
        <is>
          <t>REQUEST_APPROVER_COMMENT</t>
        </is>
      </c>
      <c r="B1489" t="inlineStr">
        <is>
          <t>Entity</t>
        </is>
      </c>
      <c r="C1489" t="inlineStr">
        <is>
          <t>SensitivePersonalData</t>
        </is>
      </c>
      <c r="D1489" s="6" t="inlineStr">
        <is>
          <t>No Sensitive Personal Data</t>
        </is>
      </c>
      <c r="E1489" s="6" t="inlineStr">
        <is>
          <t>No Sensitive Personal Data</t>
        </is>
      </c>
      <c r="F1489" s="12" t="inlineStr">
        <is>
          <t>PASS</t>
        </is>
      </c>
      <c r="G1489" t="inlineStr">
        <is>
          <t>BIM-core.SensitivePersonalData</t>
        </is>
      </c>
      <c r="H1489" s="6" t="n"/>
    </row>
    <row r="1490">
      <c r="A1490" t="inlineStr">
        <is>
          <t>REQUEST_ASSIGNEE</t>
        </is>
      </c>
      <c r="B1490" t="inlineStr">
        <is>
          <t>Entity</t>
        </is>
      </c>
      <c r="C1490" t="inlineStr">
        <is>
          <t>CommerciallySensitiveInformation</t>
        </is>
      </c>
      <c r="D1490" s="6" t="inlineStr">
        <is>
          <t>No Commercially Sensitive Information</t>
        </is>
      </c>
      <c r="E1490" s="6" t="inlineStr">
        <is>
          <t>No Commercially Sensitive Information</t>
        </is>
      </c>
      <c r="F1490" s="12" t="inlineStr">
        <is>
          <t>PASS</t>
        </is>
      </c>
      <c r="G1490" t="inlineStr">
        <is>
          <t>BIM-core.CommerciallySensitiveInformation</t>
        </is>
      </c>
      <c r="H1490" s="6" t="n"/>
    </row>
    <row r="1491">
      <c r="A1491" t="inlineStr">
        <is>
          <t>REQUEST_ASSIGNEE</t>
        </is>
      </c>
      <c r="B1491" t="inlineStr">
        <is>
          <t>Entity</t>
        </is>
      </c>
      <c r="C1491" t="inlineStr">
        <is>
          <t>Criticality</t>
        </is>
      </c>
      <c r="D1491" s="6" t="inlineStr">
        <is>
          <t>No Critical Data</t>
        </is>
      </c>
      <c r="E1491" s="6" t="inlineStr">
        <is>
          <t>No Critical Data</t>
        </is>
      </c>
      <c r="F1491" s="12" t="inlineStr">
        <is>
          <t>PASS</t>
        </is>
      </c>
      <c r="G1491" t="inlineStr">
        <is>
          <t>BIM-core.Criticality</t>
        </is>
      </c>
      <c r="H1491" s="6" t="n"/>
    </row>
    <row r="1492">
      <c r="A1492" t="inlineStr">
        <is>
          <t>REQUEST_ASSIGNEE</t>
        </is>
      </c>
      <c r="B1492" t="inlineStr">
        <is>
          <t>Entity</t>
        </is>
      </c>
      <c r="C1492" t="inlineStr">
        <is>
          <t>DataCategory</t>
        </is>
      </c>
      <c r="D1492" s="6" t="inlineStr">
        <is>
          <t>Structured</t>
        </is>
      </c>
      <c r="E1492" s="6" t="inlineStr">
        <is>
          <t>Structured</t>
        </is>
      </c>
      <c r="F1492" s="12" t="inlineStr">
        <is>
          <t>PASS</t>
        </is>
      </c>
      <c r="G1492" t="inlineStr">
        <is>
          <t>BIM-core.DataCategory</t>
        </is>
      </c>
      <c r="H1492" s="6" t="n"/>
    </row>
    <row r="1493">
      <c r="A1493" t="inlineStr">
        <is>
          <t>REQUEST_ASSIGNEE</t>
        </is>
      </c>
      <c r="B1493" t="inlineStr">
        <is>
          <t>Entity</t>
        </is>
      </c>
      <c r="C1493" t="inlineStr">
        <is>
          <t>DataConfidentiality</t>
        </is>
      </c>
      <c r="D1493" s="6" t="inlineStr">
        <is>
          <t>Internal</t>
        </is>
      </c>
      <c r="E1493" s="6" t="inlineStr">
        <is>
          <t>Internal</t>
        </is>
      </c>
      <c r="F1493" s="12" t="inlineStr">
        <is>
          <t>PASS</t>
        </is>
      </c>
      <c r="G1493" t="inlineStr">
        <is>
          <t>BIM-core.DataConfidentiality</t>
        </is>
      </c>
      <c r="H1493" s="6" t="n"/>
    </row>
    <row r="1494">
      <c r="A1494" t="inlineStr">
        <is>
          <t>REQUEST_ASSIGNEE</t>
        </is>
      </c>
      <c r="B1494" t="inlineStr">
        <is>
          <t>Entity</t>
        </is>
      </c>
      <c r="C1494" t="inlineStr">
        <is>
          <t>DesignStatus</t>
        </is>
      </c>
      <c r="D1494" s="6" t="inlineStr">
        <is>
          <t>Approved</t>
        </is>
      </c>
      <c r="E1494" s="6" t="inlineStr">
        <is>
          <t>Approved</t>
        </is>
      </c>
      <c r="F1494" s="12" t="inlineStr">
        <is>
          <t>PASS</t>
        </is>
      </c>
      <c r="G1494" t="inlineStr">
        <is>
          <t>BIM-core.DesignStatus</t>
        </is>
      </c>
      <c r="H1494" s="6" t="n"/>
    </row>
    <row r="1495">
      <c r="A1495" t="inlineStr">
        <is>
          <t>REQUEST_ASSIGNEE</t>
        </is>
      </c>
      <c r="B1495" t="inlineStr">
        <is>
          <t>Entity</t>
        </is>
      </c>
      <c r="C1495" t="inlineStr">
        <is>
          <t>EntityCategory</t>
        </is>
      </c>
      <c r="D1495" s="6" t="inlineStr">
        <is>
          <t>Transaction</t>
        </is>
      </c>
      <c r="E1495" s="6" t="inlineStr">
        <is>
          <t>Transaction</t>
        </is>
      </c>
      <c r="F1495" s="12" t="inlineStr">
        <is>
          <t>PASS</t>
        </is>
      </c>
      <c r="G1495" t="inlineStr">
        <is>
          <t>BIM-core.EntityCategory</t>
        </is>
      </c>
      <c r="H1495" s="6" t="n"/>
    </row>
    <row r="1496">
      <c r="A1496" t="inlineStr">
        <is>
          <t>REQUEST_ASSIGNEE</t>
        </is>
      </c>
      <c r="B1496" t="inlineStr">
        <is>
          <t>Entity</t>
        </is>
      </c>
      <c r="C1496" t="inlineStr">
        <is>
          <t>EntityPersonalData</t>
        </is>
      </c>
      <c r="D1496" s="6" t="inlineStr">
        <is>
          <t>No Personal Data</t>
        </is>
      </c>
      <c r="E1496" s="6" t="inlineStr">
        <is>
          <t>No Personal Data</t>
        </is>
      </c>
      <c r="F1496" s="12" t="inlineStr">
        <is>
          <t>PASS</t>
        </is>
      </c>
      <c r="G1496" t="inlineStr">
        <is>
          <t>BIM-core.EntityPersonalData</t>
        </is>
      </c>
      <c r="H1496" s="6" t="n"/>
    </row>
    <row r="1497">
      <c r="A1497" t="inlineStr">
        <is>
          <t>REQUEST_ASSIGNEE</t>
        </is>
      </c>
      <c r="B1497" t="inlineStr">
        <is>
          <t>Entity</t>
        </is>
      </c>
      <c r="C1497" t="inlineStr">
        <is>
          <t>FinancialPersonalData</t>
        </is>
      </c>
      <c r="D1497" s="6" t="inlineStr">
        <is>
          <t>No Financial Personal Data</t>
        </is>
      </c>
      <c r="E1497" s="6" t="inlineStr">
        <is>
          <t>No Financial Personal Data</t>
        </is>
      </c>
      <c r="F1497" s="12" t="inlineStr">
        <is>
          <t>PASS</t>
        </is>
      </c>
      <c r="G1497" t="inlineStr">
        <is>
          <t>BIM-core.FinancialPersonalData</t>
        </is>
      </c>
      <c r="H1497" s="6" t="n"/>
    </row>
    <row r="1498">
      <c r="A1498" t="inlineStr">
        <is>
          <t>REQUEST_ASSIGNEE</t>
        </is>
      </c>
      <c r="B1498" t="inlineStr">
        <is>
          <t>Entity</t>
        </is>
      </c>
      <c r="C1498" t="inlineStr">
        <is>
          <t>MTED_EDaM_Mapping_Note</t>
        </is>
      </c>
      <c r="D1498" s="6" t="inlineStr">
        <is>
          <t>{\rtf1\ansi\ansicpg1252\deff0\nouicompat\deflang2057{\fonttbl{\f0\fnil\fcharset0 Times New Roman;}}</t>
        </is>
      </c>
      <c r="E1498" s="6" t="inlineStr">
        <is>
          <t>{\rtf1\ansi\ansicpg1252\deff0\nouicompat\deflang2057{\fonttbl{\f0\fnil\fcharset0 Times New Roman;}}</t>
        </is>
      </c>
      <c r="F1498" s="12" t="inlineStr">
        <is>
          <t>PASS</t>
        </is>
      </c>
      <c r="G1498" t="inlineStr">
        <is>
          <t>BIM-core.MTED_EDaM_Mapping_Note</t>
        </is>
      </c>
      <c r="H1498" s="6" t="n"/>
    </row>
    <row r="1499">
      <c r="A1499" t="inlineStr">
        <is>
          <t>REQUEST_ASSIGNEE</t>
        </is>
      </c>
      <c r="B1499" t="inlineStr">
        <is>
          <t>Entity</t>
        </is>
      </c>
      <c r="C1499" t="inlineStr">
        <is>
          <t>MappingLevel</t>
        </is>
      </c>
      <c r="D1499" s="6" t="inlineStr">
        <is>
          <t>Application Specific</t>
        </is>
      </c>
      <c r="E1499" s="6" t="inlineStr">
        <is>
          <t>Application Specific</t>
        </is>
      </c>
      <c r="F1499" s="12" t="inlineStr">
        <is>
          <t>PASS</t>
        </is>
      </c>
      <c r="G1499" t="inlineStr">
        <is>
          <t>BIM-core.MappingLevel</t>
        </is>
      </c>
      <c r="H1499" s="6" t="n"/>
    </row>
    <row r="1500">
      <c r="A1500" t="inlineStr">
        <is>
          <t>REQUEST_ASSIGNEE</t>
        </is>
      </c>
      <c r="B1500" t="inlineStr">
        <is>
          <t>Entity</t>
        </is>
      </c>
      <c r="C1500" t="inlineStr">
        <is>
          <t>PD_ObjectID</t>
        </is>
      </c>
      <c r="D1500" s="6" t="inlineStr">
        <is>
          <t>FA4751E6-22C3-45CC-8D1C-E36AB18B49DC</t>
        </is>
      </c>
      <c r="E1500" s="6" t="inlineStr">
        <is>
          <t>FA4751E6-22C3-45CC-8D1C-E36AB18B49DC</t>
        </is>
      </c>
      <c r="F1500" s="12" t="inlineStr">
        <is>
          <t>PASS</t>
        </is>
      </c>
      <c r="H1500" s="6" t="n"/>
    </row>
    <row r="1501">
      <c r="A1501" t="inlineStr">
        <is>
          <t>REQUEST_ASSIGNEE</t>
        </is>
      </c>
      <c r="B1501" t="inlineStr">
        <is>
          <t>Entity</t>
        </is>
      </c>
      <c r="C1501" t="inlineStr">
        <is>
          <t>PD_SourceExtraction</t>
        </is>
      </c>
      <c r="D1501" s="6" t="inlineStr">
        <is>
          <t>46603045</t>
        </is>
      </c>
      <c r="E1501" s="6" t="inlineStr">
        <is>
          <t>46603045</t>
        </is>
      </c>
      <c r="F1501" s="12" t="inlineStr">
        <is>
          <t>PASS</t>
        </is>
      </c>
      <c r="H1501" s="6" t="n"/>
    </row>
    <row r="1502">
      <c r="A1502" t="inlineStr">
        <is>
          <t>REQUEST_ASSIGNEE</t>
        </is>
      </c>
      <c r="B1502" t="inlineStr">
        <is>
          <t>Entity</t>
        </is>
      </c>
      <c r="C1502" t="inlineStr">
        <is>
          <t>PD_SourceModel</t>
        </is>
      </c>
      <c r="D1502" s="6" t="inlineStr">
        <is>
          <t>05_Carbon_Calculator</t>
        </is>
      </c>
      <c r="E1502" s="6" t="inlineStr">
        <is>
          <t>05_Carbon_Calculator</t>
        </is>
      </c>
      <c r="F1502" s="12" t="inlineStr">
        <is>
          <t>PASS</t>
        </is>
      </c>
      <c r="H1502" s="6" t="n"/>
    </row>
    <row r="1503">
      <c r="A1503" t="inlineStr">
        <is>
          <t>REQUEST_ASSIGNEE</t>
        </is>
      </c>
      <c r="B1503" t="inlineStr">
        <is>
          <t>Entity</t>
        </is>
      </c>
      <c r="C1503" t="inlineStr">
        <is>
          <t>SensitivePersonalData</t>
        </is>
      </c>
      <c r="D1503" s="6" t="inlineStr">
        <is>
          <t>No Sensitive Personal Data</t>
        </is>
      </c>
      <c r="E1503" s="6" t="inlineStr">
        <is>
          <t>No Sensitive Personal Data</t>
        </is>
      </c>
      <c r="F1503" s="12" t="inlineStr">
        <is>
          <t>PASS</t>
        </is>
      </c>
      <c r="G1503" t="inlineStr">
        <is>
          <t>BIM-core.SensitivePersonalData</t>
        </is>
      </c>
      <c r="H1503" s="6" t="n"/>
    </row>
    <row r="1504">
      <c r="A1504" t="inlineStr">
        <is>
          <t>REQUEST_STAGE</t>
        </is>
      </c>
      <c r="B1504" t="inlineStr">
        <is>
          <t>Entity</t>
        </is>
      </c>
      <c r="C1504" t="inlineStr">
        <is>
          <t>CommerciallySensitiveInformation</t>
        </is>
      </c>
      <c r="D1504" s="6" t="inlineStr">
        <is>
          <t>No Commercially Sensitive Information</t>
        </is>
      </c>
      <c r="E1504" s="6" t="inlineStr">
        <is>
          <t>No Commercially Sensitive Information</t>
        </is>
      </c>
      <c r="F1504" s="12" t="inlineStr">
        <is>
          <t>PASS</t>
        </is>
      </c>
      <c r="G1504" t="inlineStr">
        <is>
          <t>BIM-core.CommerciallySensitiveInformation</t>
        </is>
      </c>
      <c r="H1504" s="6" t="n"/>
    </row>
    <row r="1505">
      <c r="A1505" t="inlineStr">
        <is>
          <t>REQUEST_STAGE</t>
        </is>
      </c>
      <c r="B1505" t="inlineStr">
        <is>
          <t>Entity</t>
        </is>
      </c>
      <c r="C1505" t="inlineStr">
        <is>
          <t>Criticality</t>
        </is>
      </c>
      <c r="D1505" s="6" t="inlineStr">
        <is>
          <t>No Critical Data</t>
        </is>
      </c>
      <c r="E1505" s="6" t="inlineStr">
        <is>
          <t>No Critical Data</t>
        </is>
      </c>
      <c r="F1505" s="12" t="inlineStr">
        <is>
          <t>PASS</t>
        </is>
      </c>
      <c r="G1505" t="inlineStr">
        <is>
          <t>BIM-core.Criticality</t>
        </is>
      </c>
      <c r="H1505" s="6" t="n"/>
    </row>
    <row r="1506">
      <c r="A1506" t="inlineStr">
        <is>
          <t>REQUEST_STAGE</t>
        </is>
      </c>
      <c r="B1506" t="inlineStr">
        <is>
          <t>Entity</t>
        </is>
      </c>
      <c r="C1506" t="inlineStr">
        <is>
          <t>DataCategory</t>
        </is>
      </c>
      <c r="D1506" s="6" t="inlineStr">
        <is>
          <t>Structured</t>
        </is>
      </c>
      <c r="E1506" s="6" t="inlineStr">
        <is>
          <t>Structured</t>
        </is>
      </c>
      <c r="F1506" s="12" t="inlineStr">
        <is>
          <t>PASS</t>
        </is>
      </c>
      <c r="G1506" t="inlineStr">
        <is>
          <t>BIM-core.DataCategory</t>
        </is>
      </c>
      <c r="H1506" s="6" t="n"/>
    </row>
    <row r="1507">
      <c r="A1507" t="inlineStr">
        <is>
          <t>REQUEST_STAGE</t>
        </is>
      </c>
      <c r="B1507" t="inlineStr">
        <is>
          <t>Entity</t>
        </is>
      </c>
      <c r="C1507" t="inlineStr">
        <is>
          <t>DataConfidentiality</t>
        </is>
      </c>
      <c r="D1507" s="6" t="inlineStr">
        <is>
          <t>Internal</t>
        </is>
      </c>
      <c r="E1507" s="6" t="inlineStr">
        <is>
          <t>Internal</t>
        </is>
      </c>
      <c r="F1507" s="12" t="inlineStr">
        <is>
          <t>PASS</t>
        </is>
      </c>
      <c r="G1507" t="inlineStr">
        <is>
          <t>BIM-core.DataConfidentiality</t>
        </is>
      </c>
      <c r="H1507" s="6" t="n"/>
    </row>
    <row r="1508">
      <c r="A1508" t="inlineStr">
        <is>
          <t>REQUEST_STAGE</t>
        </is>
      </c>
      <c r="B1508" t="inlineStr">
        <is>
          <t>Entity</t>
        </is>
      </c>
      <c r="C1508" t="inlineStr">
        <is>
          <t>DesignStatus</t>
        </is>
      </c>
      <c r="D1508" s="6" t="inlineStr">
        <is>
          <t>Approved</t>
        </is>
      </c>
      <c r="E1508" s="6" t="inlineStr">
        <is>
          <t>Approved</t>
        </is>
      </c>
      <c r="F1508" s="12" t="inlineStr">
        <is>
          <t>PASS</t>
        </is>
      </c>
      <c r="G1508" t="inlineStr">
        <is>
          <t>BIM-core.DesignStatus</t>
        </is>
      </c>
      <c r="H1508" s="6" t="n"/>
    </row>
    <row r="1509">
      <c r="A1509" t="inlineStr">
        <is>
          <t>REQUEST_STAGE</t>
        </is>
      </c>
      <c r="B1509" t="inlineStr">
        <is>
          <t>Entity</t>
        </is>
      </c>
      <c r="C1509" t="inlineStr">
        <is>
          <t>EntityCategory</t>
        </is>
      </c>
      <c r="D1509" s="6" t="inlineStr">
        <is>
          <t>Transaction</t>
        </is>
      </c>
      <c r="E1509" s="6" t="inlineStr">
        <is>
          <t>Transaction</t>
        </is>
      </c>
      <c r="F1509" s="12" t="inlineStr">
        <is>
          <t>PASS</t>
        </is>
      </c>
      <c r="G1509" t="inlineStr">
        <is>
          <t>BIM-core.EntityCategory</t>
        </is>
      </c>
      <c r="H1509" s="6" t="n"/>
    </row>
    <row r="1510">
      <c r="A1510" t="inlineStr">
        <is>
          <t>REQUEST_STAGE</t>
        </is>
      </c>
      <c r="B1510" t="inlineStr">
        <is>
          <t>Entity</t>
        </is>
      </c>
      <c r="C1510" t="inlineStr">
        <is>
          <t>EntityPersonalData</t>
        </is>
      </c>
      <c r="D1510" s="6" t="inlineStr">
        <is>
          <t>No Personal Data</t>
        </is>
      </c>
      <c r="E1510" s="6" t="inlineStr">
        <is>
          <t>No Personal Data</t>
        </is>
      </c>
      <c r="F1510" s="12" t="inlineStr">
        <is>
          <t>PASS</t>
        </is>
      </c>
      <c r="G1510" t="inlineStr">
        <is>
          <t>BIM-core.EntityPersonalData</t>
        </is>
      </c>
      <c r="H1510" s="6" t="n"/>
    </row>
    <row r="1511">
      <c r="A1511" t="inlineStr">
        <is>
          <t>REQUEST_STAGE</t>
        </is>
      </c>
      <c r="B1511" t="inlineStr">
        <is>
          <t>Entity</t>
        </is>
      </c>
      <c r="C1511" t="inlineStr">
        <is>
          <t>FinancialPersonalData</t>
        </is>
      </c>
      <c r="D1511" s="6" t="inlineStr">
        <is>
          <t>No Financial Personal Data</t>
        </is>
      </c>
      <c r="E1511" s="6" t="inlineStr">
        <is>
          <t>No Financial Personal Data</t>
        </is>
      </c>
      <c r="F1511" s="12" t="inlineStr">
        <is>
          <t>PASS</t>
        </is>
      </c>
      <c r="G1511" t="inlineStr">
        <is>
          <t>BIM-core.FinancialPersonalData</t>
        </is>
      </c>
      <c r="H1511" s="6" t="n"/>
    </row>
    <row r="1512">
      <c r="A1512" t="inlineStr">
        <is>
          <t>REQUEST_STAGE</t>
        </is>
      </c>
      <c r="B1512" t="inlineStr">
        <is>
          <t>Entity</t>
        </is>
      </c>
      <c r="C1512" t="inlineStr">
        <is>
          <t>MTED_EDaM_Mapping_Note</t>
        </is>
      </c>
      <c r="D1512" s="6" t="inlineStr">
        <is>
          <t>{\rtf1\ansi\ansicpg1252\deff0\nouicompat\deflang2057{\fonttbl{\f0\fnil\fcharset0 Times New Roman;}}</t>
        </is>
      </c>
      <c r="E1512" s="6" t="inlineStr">
        <is>
          <t>{\rtf1\ansi\ansicpg1252\deff0\nouicompat\deflang2057{\fonttbl{\f0\fnil\fcharset0 Times New Roman;}}</t>
        </is>
      </c>
      <c r="F1512" s="12" t="inlineStr">
        <is>
          <t>PASS</t>
        </is>
      </c>
      <c r="G1512" t="inlineStr">
        <is>
          <t>BIM-core.MTED_EDaM_Mapping_Note</t>
        </is>
      </c>
      <c r="H1512" s="6" t="n"/>
    </row>
    <row r="1513">
      <c r="A1513" t="inlineStr">
        <is>
          <t>REQUEST_STAGE</t>
        </is>
      </c>
      <c r="B1513" t="inlineStr">
        <is>
          <t>Entity</t>
        </is>
      </c>
      <c r="C1513" t="inlineStr">
        <is>
          <t>MappingLevel</t>
        </is>
      </c>
      <c r="D1513" s="6" t="inlineStr">
        <is>
          <t>Application Specific</t>
        </is>
      </c>
      <c r="E1513" s="6" t="inlineStr">
        <is>
          <t>Application Specific</t>
        </is>
      </c>
      <c r="F1513" s="12" t="inlineStr">
        <is>
          <t>PASS</t>
        </is>
      </c>
      <c r="G1513" t="inlineStr">
        <is>
          <t>BIM-core.MappingLevel</t>
        </is>
      </c>
      <c r="H1513" s="6" t="n"/>
    </row>
    <row r="1514">
      <c r="A1514" t="inlineStr">
        <is>
          <t>REQUEST_STAGE</t>
        </is>
      </c>
      <c r="B1514" t="inlineStr">
        <is>
          <t>Entity</t>
        </is>
      </c>
      <c r="C1514" t="inlineStr">
        <is>
          <t>PD_ObjectID</t>
        </is>
      </c>
      <c r="D1514" s="6" t="inlineStr">
        <is>
          <t>503B1B0B-7C16-4BA1-A6EE-A450946B906F</t>
        </is>
      </c>
      <c r="E1514" s="6" t="inlineStr">
        <is>
          <t>503B1B0B-7C16-4BA1-A6EE-A450946B906F</t>
        </is>
      </c>
      <c r="F1514" s="12" t="inlineStr">
        <is>
          <t>PASS</t>
        </is>
      </c>
      <c r="H1514" s="6" t="n"/>
    </row>
    <row r="1515">
      <c r="A1515" t="inlineStr">
        <is>
          <t>REQUEST_STAGE</t>
        </is>
      </c>
      <c r="B1515" t="inlineStr">
        <is>
          <t>Entity</t>
        </is>
      </c>
      <c r="C1515" t="inlineStr">
        <is>
          <t>PD_SourceExtraction</t>
        </is>
      </c>
      <c r="D1515" s="6" t="inlineStr">
        <is>
          <t>46603045</t>
        </is>
      </c>
      <c r="E1515" s="6" t="inlineStr">
        <is>
          <t>46603045</t>
        </is>
      </c>
      <c r="F1515" s="12" t="inlineStr">
        <is>
          <t>PASS</t>
        </is>
      </c>
      <c r="H1515" s="6" t="n"/>
    </row>
    <row r="1516">
      <c r="A1516" t="inlineStr">
        <is>
          <t>REQUEST_STAGE</t>
        </is>
      </c>
      <c r="B1516" t="inlineStr">
        <is>
          <t>Entity</t>
        </is>
      </c>
      <c r="C1516" t="inlineStr">
        <is>
          <t>PD_SourceModel</t>
        </is>
      </c>
      <c r="D1516" s="6" t="inlineStr">
        <is>
          <t>05_Carbon_Calculator</t>
        </is>
      </c>
      <c r="E1516" s="6" t="inlineStr">
        <is>
          <t>05_Carbon_Calculator</t>
        </is>
      </c>
      <c r="F1516" s="12" t="inlineStr">
        <is>
          <t>PASS</t>
        </is>
      </c>
      <c r="H1516" s="6" t="n"/>
    </row>
    <row r="1517">
      <c r="A1517" t="inlineStr">
        <is>
          <t>REQUEST_STAGE</t>
        </is>
      </c>
      <c r="B1517" t="inlineStr">
        <is>
          <t>Entity</t>
        </is>
      </c>
      <c r="C1517" t="inlineStr">
        <is>
          <t>SensitivePersonalData</t>
        </is>
      </c>
      <c r="D1517" s="6" t="inlineStr">
        <is>
          <t>No Sensitive Personal Data</t>
        </is>
      </c>
      <c r="E1517" s="6" t="inlineStr">
        <is>
          <t>No Sensitive Personal Data</t>
        </is>
      </c>
      <c r="F1517" s="12" t="inlineStr">
        <is>
          <t>PASS</t>
        </is>
      </c>
      <c r="G1517" t="inlineStr">
        <is>
          <t>BIM-core.SensitivePersonalData</t>
        </is>
      </c>
      <c r="H1517" s="6" t="n"/>
    </row>
    <row r="1518">
      <c r="A1518" t="inlineStr">
        <is>
          <t>UOM</t>
        </is>
      </c>
      <c r="B1518" t="inlineStr">
        <is>
          <t>Entity</t>
        </is>
      </c>
      <c r="C1518" t="inlineStr">
        <is>
          <t>CSI</t>
        </is>
      </c>
      <c r="D1518" s="6" t="inlineStr">
        <is>
          <t>false</t>
        </is>
      </c>
      <c r="E1518" s="6" t="inlineStr">
        <is>
          <t>false</t>
        </is>
      </c>
      <c r="F1518" s="12" t="inlineStr">
        <is>
          <t>PASS</t>
        </is>
      </c>
      <c r="G1518" t="inlineStr">
        <is>
          <t>SHL_LDM_EntityPropertyExtension.CSI</t>
        </is>
      </c>
      <c r="H1518" s="6" t="n"/>
    </row>
    <row r="1519">
      <c r="A1519" t="inlineStr">
        <is>
          <t>UOM</t>
        </is>
      </c>
      <c r="B1519" t="inlineStr">
        <is>
          <t>Entity</t>
        </is>
      </c>
      <c r="C1519" t="inlineStr">
        <is>
          <t>CommerciallySensitiveInformation</t>
        </is>
      </c>
      <c r="D1519" s="6" t="inlineStr">
        <is>
          <t>No Commercially Sensitive Information</t>
        </is>
      </c>
      <c r="E1519" s="6" t="inlineStr">
        <is>
          <t>No Commercially Sensitive Information</t>
        </is>
      </c>
      <c r="F1519" s="12" t="inlineStr">
        <is>
          <t>PASS</t>
        </is>
      </c>
      <c r="G1519" t="inlineStr">
        <is>
          <t>BIM-core.CommerciallySensitiveInformation</t>
        </is>
      </c>
      <c r="H1519" s="6" t="n"/>
    </row>
    <row r="1520">
      <c r="A1520" t="inlineStr">
        <is>
          <t>UOM</t>
        </is>
      </c>
      <c r="B1520" t="inlineStr">
        <is>
          <t>Entity</t>
        </is>
      </c>
      <c r="C1520" t="inlineStr">
        <is>
          <t>Criticality</t>
        </is>
      </c>
      <c r="D1520" s="6" t="inlineStr">
        <is>
          <t>No Critical Data</t>
        </is>
      </c>
      <c r="E1520" s="6" t="inlineStr">
        <is>
          <t>No Critical Data</t>
        </is>
      </c>
      <c r="F1520" s="12" t="inlineStr">
        <is>
          <t>PASS</t>
        </is>
      </c>
      <c r="G1520" t="inlineStr">
        <is>
          <t>BIM-core.Criticality</t>
        </is>
      </c>
      <c r="H1520" s="6" t="n"/>
    </row>
    <row r="1521">
      <c r="A1521" t="inlineStr">
        <is>
          <t>UOM</t>
        </is>
      </c>
      <c r="B1521" t="inlineStr">
        <is>
          <t>Entity</t>
        </is>
      </c>
      <c r="C1521" t="inlineStr">
        <is>
          <t>DataArea</t>
        </is>
      </c>
      <c r="D1521" s="6" t="inlineStr">
        <is>
          <t>Unit Of Measure</t>
        </is>
      </c>
      <c r="E1521" s="6" t="inlineStr">
        <is>
          <t>Unit Of Measure</t>
        </is>
      </c>
      <c r="F1521" s="12" t="inlineStr">
        <is>
          <t>PASS</t>
        </is>
      </c>
      <c r="G1521" t="inlineStr">
        <is>
          <t>BIM-core.DataArea</t>
        </is>
      </c>
      <c r="H1521" s="6" t="n"/>
    </row>
    <row r="1522">
      <c r="A1522" t="inlineStr">
        <is>
          <t>UOM</t>
        </is>
      </c>
      <c r="B1522" t="inlineStr">
        <is>
          <t>Entity</t>
        </is>
      </c>
      <c r="C1522" t="inlineStr">
        <is>
          <t>DataCategory</t>
        </is>
      </c>
      <c r="D1522" s="6" t="inlineStr">
        <is>
          <t>Structured</t>
        </is>
      </c>
      <c r="E1522" s="6" t="inlineStr">
        <is>
          <t>Structured</t>
        </is>
      </c>
      <c r="F1522" s="12" t="inlineStr">
        <is>
          <t>PASS</t>
        </is>
      </c>
      <c r="G1522" t="inlineStr">
        <is>
          <t>BIM-core.DataCategory</t>
        </is>
      </c>
      <c r="H1522" s="6" t="n"/>
    </row>
    <row r="1523">
      <c r="A1523" t="inlineStr">
        <is>
          <t>UOM</t>
        </is>
      </c>
      <c r="B1523" t="inlineStr">
        <is>
          <t>Entity</t>
        </is>
      </c>
      <c r="C1523" t="inlineStr">
        <is>
          <t>DataConfidentiality</t>
        </is>
      </c>
      <c r="D1523" s="6" t="inlineStr">
        <is>
          <t>Internal</t>
        </is>
      </c>
      <c r="E1523" s="6" t="inlineStr">
        <is>
          <t>Internal</t>
        </is>
      </c>
      <c r="F1523" s="12" t="inlineStr">
        <is>
          <t>PASS</t>
        </is>
      </c>
      <c r="G1523" t="inlineStr">
        <is>
          <t>BIM-core.DataConfidentiality</t>
        </is>
      </c>
      <c r="H1523" s="6" t="n"/>
    </row>
    <row r="1524">
      <c r="A1524" t="inlineStr">
        <is>
          <t>UOM</t>
        </is>
      </c>
      <c r="B1524" t="inlineStr">
        <is>
          <t>Entity</t>
        </is>
      </c>
      <c r="C1524" t="inlineStr">
        <is>
          <t>DesignStatus</t>
        </is>
      </c>
      <c r="D1524" s="6" t="inlineStr">
        <is>
          <t>Approved</t>
        </is>
      </c>
      <c r="E1524" s="6" t="inlineStr">
        <is>
          <t>Approved</t>
        </is>
      </c>
      <c r="F1524" s="12" t="inlineStr">
        <is>
          <t>PASS</t>
        </is>
      </c>
      <c r="G1524" t="inlineStr">
        <is>
          <t>BIM-core.DesignStatus</t>
        </is>
      </c>
      <c r="H1524" s="6" t="n"/>
    </row>
    <row r="1525">
      <c r="A1525" t="inlineStr">
        <is>
          <t>UOM</t>
        </is>
      </c>
      <c r="B1525" t="inlineStr">
        <is>
          <t>Entity</t>
        </is>
      </c>
      <c r="C1525" t="inlineStr">
        <is>
          <t>EntityCategory</t>
        </is>
      </c>
      <c r="D1525" s="6" t="inlineStr">
        <is>
          <t>Internal Reference</t>
        </is>
      </c>
      <c r="E1525" s="6" t="inlineStr">
        <is>
          <t>Internal Reference</t>
        </is>
      </c>
      <c r="F1525" s="12" t="inlineStr">
        <is>
          <t>PASS</t>
        </is>
      </c>
      <c r="G1525" t="inlineStr">
        <is>
          <t>BIM-core.EntityCategory</t>
        </is>
      </c>
      <c r="H1525" s="6" t="n"/>
    </row>
    <row r="1526">
      <c r="A1526" t="inlineStr">
        <is>
          <t>UOM</t>
        </is>
      </c>
      <c r="B1526" t="inlineStr">
        <is>
          <t>Entity</t>
        </is>
      </c>
      <c r="C1526" t="inlineStr">
        <is>
          <t>EntityPersonalData</t>
        </is>
      </c>
      <c r="D1526" s="6" t="inlineStr">
        <is>
          <t>No Personal Data</t>
        </is>
      </c>
      <c r="E1526" s="6" t="inlineStr">
        <is>
          <t>No Personal Data</t>
        </is>
      </c>
      <c r="F1526" s="12" t="inlineStr">
        <is>
          <t>PASS</t>
        </is>
      </c>
      <c r="G1526" t="inlineStr">
        <is>
          <t>BIM-core.EntityPersonalData</t>
        </is>
      </c>
      <c r="H1526" s="6" t="n"/>
    </row>
    <row r="1527">
      <c r="A1527" t="inlineStr">
        <is>
          <t>UOM</t>
        </is>
      </c>
      <c r="B1527" t="inlineStr">
        <is>
          <t>Entity</t>
        </is>
      </c>
      <c r="C1527" t="inlineStr">
        <is>
          <t>FinancialPersonalData</t>
        </is>
      </c>
      <c r="D1527" s="6" t="inlineStr">
        <is>
          <t>No Financial Personal Data</t>
        </is>
      </c>
      <c r="E1527" s="6" t="inlineStr">
        <is>
          <t>No Financial Personal Data</t>
        </is>
      </c>
      <c r="F1527" s="12" t="inlineStr">
        <is>
          <t>PASS</t>
        </is>
      </c>
      <c r="G1527" t="inlineStr">
        <is>
          <t>BIM-core.FinancialPersonalData</t>
        </is>
      </c>
      <c r="H1527" s="6" t="n"/>
    </row>
    <row r="1528">
      <c r="A1528" t="inlineStr">
        <is>
          <t>UOM</t>
        </is>
      </c>
      <c r="B1528" t="inlineStr">
        <is>
          <t>Entity</t>
        </is>
      </c>
      <c r="C1528" t="inlineStr">
        <is>
          <t>MTED_Encryption_Required</t>
        </is>
      </c>
      <c r="D1528" s="6" t="inlineStr">
        <is>
          <t>false</t>
        </is>
      </c>
      <c r="E1528" s="6" t="inlineStr">
        <is>
          <t>false</t>
        </is>
      </c>
      <c r="F1528" s="12" t="inlineStr">
        <is>
          <t>PASS</t>
        </is>
      </c>
      <c r="G1528" t="inlineStr">
        <is>
          <t>SHL_LDM_EntityPropertyExtension.MTED_Encryption_Required</t>
        </is>
      </c>
      <c r="H1528" s="6" t="n"/>
    </row>
    <row r="1529">
      <c r="A1529" t="inlineStr">
        <is>
          <t>UOM</t>
        </is>
      </c>
      <c r="B1529" t="inlineStr">
        <is>
          <t>Entity</t>
        </is>
      </c>
      <c r="C1529" t="inlineStr">
        <is>
          <t>MappingLevel</t>
        </is>
      </c>
      <c r="D1529" s="6" t="inlineStr">
        <is>
          <t>BLM</t>
        </is>
      </c>
      <c r="E1529" s="6" t="inlineStr">
        <is>
          <t>BLM</t>
        </is>
      </c>
      <c r="F1529" s="12" t="inlineStr">
        <is>
          <t>PASS</t>
        </is>
      </c>
      <c r="G1529" t="inlineStr">
        <is>
          <t>BIM-core.MappingLevel</t>
        </is>
      </c>
      <c r="H1529" s="6" t="n"/>
    </row>
    <row r="1530">
      <c r="A1530" t="inlineStr">
        <is>
          <t>UOM</t>
        </is>
      </c>
      <c r="B1530" t="inlineStr">
        <is>
          <t>Entity</t>
        </is>
      </c>
      <c r="C1530" t="inlineStr">
        <is>
          <t>MapsToEntity</t>
        </is>
      </c>
      <c r="D1530" s="6" t="inlineStr">
        <is>
          <t>UNIT_OF_MEASURE</t>
        </is>
      </c>
      <c r="E1530" s="6" t="inlineStr">
        <is>
          <t>UNIT_OF_MEASURE</t>
        </is>
      </c>
      <c r="F1530" s="12" t="inlineStr">
        <is>
          <t>PASS</t>
        </is>
      </c>
      <c r="G1530" t="inlineStr">
        <is>
          <t>BIM-core.MapsToEntity</t>
        </is>
      </c>
      <c r="H1530" s="6" t="n"/>
    </row>
    <row r="1531">
      <c r="A1531" t="inlineStr">
        <is>
          <t>UOM</t>
        </is>
      </c>
      <c r="B1531" t="inlineStr">
        <is>
          <t>Entity</t>
        </is>
      </c>
      <c r="C1531" t="inlineStr">
        <is>
          <t>PD_ObjectID</t>
        </is>
      </c>
      <c r="D1531" s="6" t="inlineStr">
        <is>
          <t>3116D276-3E6B-4EE2-A53D-F957BE9736CE</t>
        </is>
      </c>
      <c r="E1531" s="6" t="inlineStr">
        <is>
          <t>3116D276-3E6B-4EE2-A53D-F957BE9736CE</t>
        </is>
      </c>
      <c r="F1531" s="12" t="inlineStr">
        <is>
          <t>PASS</t>
        </is>
      </c>
      <c r="H1531" s="6" t="n"/>
    </row>
    <row r="1532">
      <c r="A1532" t="inlineStr">
        <is>
          <t>UOM</t>
        </is>
      </c>
      <c r="B1532" t="inlineStr">
        <is>
          <t>Entity</t>
        </is>
      </c>
      <c r="C1532" t="inlineStr">
        <is>
          <t>PD_SourceExtraction</t>
        </is>
      </c>
      <c r="D1532" s="6" t="inlineStr">
        <is>
          <t>46603045</t>
        </is>
      </c>
      <c r="E1532" s="6" t="inlineStr">
        <is>
          <t>46603045</t>
        </is>
      </c>
      <c r="F1532" s="12" t="inlineStr">
        <is>
          <t>PASS</t>
        </is>
      </c>
      <c r="H1532" s="6" t="n"/>
    </row>
    <row r="1533">
      <c r="A1533" t="inlineStr">
        <is>
          <t>UOM</t>
        </is>
      </c>
      <c r="B1533" t="inlineStr">
        <is>
          <t>Entity</t>
        </is>
      </c>
      <c r="C1533" t="inlineStr">
        <is>
          <t>PD_SourceModel</t>
        </is>
      </c>
      <c r="D1533" s="6" t="inlineStr">
        <is>
          <t>05_Carbon_Calculator</t>
        </is>
      </c>
      <c r="E1533" s="6" t="inlineStr">
        <is>
          <t>05_Carbon_Calculator</t>
        </is>
      </c>
      <c r="F1533" s="12" t="inlineStr">
        <is>
          <t>PASS</t>
        </is>
      </c>
      <c r="H1533" s="6" t="n"/>
    </row>
    <row r="1534">
      <c r="A1534" t="inlineStr">
        <is>
          <t>UOM</t>
        </is>
      </c>
      <c r="B1534" t="inlineStr">
        <is>
          <t>Entity</t>
        </is>
      </c>
      <c r="C1534" t="inlineStr">
        <is>
          <t>SensitivePersonalData</t>
        </is>
      </c>
      <c r="D1534" s="6" t="inlineStr">
        <is>
          <t>No Sensitive Personal Data</t>
        </is>
      </c>
      <c r="E1534" s="6" t="inlineStr">
        <is>
          <t>No Sensitive Personal Data</t>
        </is>
      </c>
      <c r="F1534" s="12" t="inlineStr">
        <is>
          <t>PASS</t>
        </is>
      </c>
      <c r="G1534" t="inlineStr">
        <is>
          <t>BIM-core.SensitivePersonalData</t>
        </is>
      </c>
      <c r="H1534" s="6" t="n"/>
    </row>
    <row r="1535">
      <c r="A1535" t="inlineStr">
        <is>
          <t>UOM_CONVERSION</t>
        </is>
      </c>
      <c r="B1535" t="inlineStr">
        <is>
          <t>Entity</t>
        </is>
      </c>
      <c r="C1535" t="inlineStr">
        <is>
          <t>CSI</t>
        </is>
      </c>
      <c r="D1535" s="6" t="inlineStr">
        <is>
          <t>false</t>
        </is>
      </c>
      <c r="E1535" s="6" t="inlineStr">
        <is>
          <t>false</t>
        </is>
      </c>
      <c r="F1535" s="12" t="inlineStr">
        <is>
          <t>PASS</t>
        </is>
      </c>
      <c r="G1535" t="inlineStr">
        <is>
          <t>SHL_LDM_EntityPropertyExtension.CSI</t>
        </is>
      </c>
      <c r="H1535" s="6" t="n"/>
    </row>
    <row r="1536">
      <c r="A1536" t="inlineStr">
        <is>
          <t>UOM_CONVERSION</t>
        </is>
      </c>
      <c r="B1536" t="inlineStr">
        <is>
          <t>Entity</t>
        </is>
      </c>
      <c r="C1536" t="inlineStr">
        <is>
          <t>CommerciallySensitiveInformation</t>
        </is>
      </c>
      <c r="D1536" s="6" t="inlineStr">
        <is>
          <t>No Commercially Sensitive Information</t>
        </is>
      </c>
      <c r="E1536" s="6" t="inlineStr">
        <is>
          <t>No Commercially Sensitive Information</t>
        </is>
      </c>
      <c r="F1536" s="12" t="inlineStr">
        <is>
          <t>PASS</t>
        </is>
      </c>
      <c r="G1536" t="inlineStr">
        <is>
          <t>BIM-core.CommerciallySensitiveInformation</t>
        </is>
      </c>
      <c r="H1536" s="6" t="n"/>
    </row>
    <row r="1537">
      <c r="A1537" t="inlineStr">
        <is>
          <t>UOM_CONVERSION</t>
        </is>
      </c>
      <c r="B1537" t="inlineStr">
        <is>
          <t>Entity</t>
        </is>
      </c>
      <c r="C1537" t="inlineStr">
        <is>
          <t>Criticality</t>
        </is>
      </c>
      <c r="D1537" s="6" t="inlineStr">
        <is>
          <t>No Critical Data</t>
        </is>
      </c>
      <c r="E1537" s="6" t="inlineStr">
        <is>
          <t>No Critical Data</t>
        </is>
      </c>
      <c r="F1537" s="12" t="inlineStr">
        <is>
          <t>PASS</t>
        </is>
      </c>
      <c r="G1537" t="inlineStr">
        <is>
          <t>BIM-core.Criticality</t>
        </is>
      </c>
      <c r="H1537" s="6" t="n"/>
    </row>
    <row r="1538">
      <c r="A1538" t="inlineStr">
        <is>
          <t>UOM_CONVERSION</t>
        </is>
      </c>
      <c r="B1538" t="inlineStr">
        <is>
          <t>Entity</t>
        </is>
      </c>
      <c r="C1538" t="inlineStr">
        <is>
          <t>DataCategory</t>
        </is>
      </c>
      <c r="D1538" s="6" t="inlineStr">
        <is>
          <t>Structured</t>
        </is>
      </c>
      <c r="E1538" s="6" t="inlineStr">
        <is>
          <t>Structured</t>
        </is>
      </c>
      <c r="F1538" s="12" t="inlineStr">
        <is>
          <t>PASS</t>
        </is>
      </c>
      <c r="G1538" t="inlineStr">
        <is>
          <t>BIM-core.DataCategory</t>
        </is>
      </c>
      <c r="H1538" s="6" t="n"/>
    </row>
    <row r="1539">
      <c r="A1539" t="inlineStr">
        <is>
          <t>UOM_CONVERSION</t>
        </is>
      </c>
      <c r="B1539" t="inlineStr">
        <is>
          <t>Entity</t>
        </is>
      </c>
      <c r="C1539" t="inlineStr">
        <is>
          <t>DataConfidentiality</t>
        </is>
      </c>
      <c r="D1539" s="6" t="inlineStr">
        <is>
          <t>Internal</t>
        </is>
      </c>
      <c r="E1539" s="6" t="inlineStr">
        <is>
          <t>Internal</t>
        </is>
      </c>
      <c r="F1539" s="12" t="inlineStr">
        <is>
          <t>PASS</t>
        </is>
      </c>
      <c r="G1539" t="inlineStr">
        <is>
          <t>BIM-core.DataConfidentiality</t>
        </is>
      </c>
      <c r="H1539" s="6" t="n"/>
    </row>
    <row r="1540">
      <c r="A1540" t="inlineStr">
        <is>
          <t>UOM_CONVERSION</t>
        </is>
      </c>
      <c r="B1540" t="inlineStr">
        <is>
          <t>Entity</t>
        </is>
      </c>
      <c r="C1540" t="inlineStr">
        <is>
          <t>DesignStatus</t>
        </is>
      </c>
      <c r="D1540" s="6" t="inlineStr">
        <is>
          <t>Approved</t>
        </is>
      </c>
      <c r="E1540" s="6" t="inlineStr">
        <is>
          <t>Approved</t>
        </is>
      </c>
      <c r="F1540" s="12" t="inlineStr">
        <is>
          <t>PASS</t>
        </is>
      </c>
      <c r="G1540" t="inlineStr">
        <is>
          <t>BIM-core.DesignStatus</t>
        </is>
      </c>
      <c r="H1540" s="6" t="n"/>
    </row>
    <row r="1541">
      <c r="A1541" t="inlineStr">
        <is>
          <t>UOM_CONVERSION</t>
        </is>
      </c>
      <c r="B1541" t="inlineStr">
        <is>
          <t>Entity</t>
        </is>
      </c>
      <c r="C1541" t="inlineStr">
        <is>
          <t>EntityCategory</t>
        </is>
      </c>
      <c r="D1541" s="6" t="inlineStr">
        <is>
          <t>Master</t>
        </is>
      </c>
      <c r="E1541" s="6" t="inlineStr">
        <is>
          <t>Master</t>
        </is>
      </c>
      <c r="F1541" s="12" t="inlineStr">
        <is>
          <t>PASS</t>
        </is>
      </c>
      <c r="G1541" t="inlineStr">
        <is>
          <t>BIM-core.EntityCategory</t>
        </is>
      </c>
      <c r="H1541" s="6" t="n"/>
    </row>
    <row r="1542">
      <c r="A1542" t="inlineStr">
        <is>
          <t>UOM_CONVERSION</t>
        </is>
      </c>
      <c r="B1542" t="inlineStr">
        <is>
          <t>Entity</t>
        </is>
      </c>
      <c r="C1542" t="inlineStr">
        <is>
          <t>EntityPersonalData</t>
        </is>
      </c>
      <c r="D1542" s="6" t="inlineStr">
        <is>
          <t>No Personal Data</t>
        </is>
      </c>
      <c r="E1542" s="6" t="inlineStr">
        <is>
          <t>No Personal Data</t>
        </is>
      </c>
      <c r="F1542" s="12" t="inlineStr">
        <is>
          <t>PASS</t>
        </is>
      </c>
      <c r="G1542" t="inlineStr">
        <is>
          <t>BIM-core.EntityPersonalData</t>
        </is>
      </c>
      <c r="H1542" s="6" t="n"/>
    </row>
    <row r="1543">
      <c r="A1543" t="inlineStr">
        <is>
          <t>UOM_CONVERSION</t>
        </is>
      </c>
      <c r="B1543" t="inlineStr">
        <is>
          <t>Entity</t>
        </is>
      </c>
      <c r="C1543" t="inlineStr">
        <is>
          <t>FinancialPersonalData</t>
        </is>
      </c>
      <c r="D1543" s="6" t="inlineStr">
        <is>
          <t>No Financial Personal Data</t>
        </is>
      </c>
      <c r="E1543" s="6" t="inlineStr">
        <is>
          <t>No Financial Personal Data</t>
        </is>
      </c>
      <c r="F1543" s="12" t="inlineStr">
        <is>
          <t>PASS</t>
        </is>
      </c>
      <c r="G1543" t="inlineStr">
        <is>
          <t>BIM-core.FinancialPersonalData</t>
        </is>
      </c>
      <c r="H1543" s="6" t="n"/>
    </row>
    <row r="1544">
      <c r="A1544" t="inlineStr">
        <is>
          <t>UOM_CONVERSION</t>
        </is>
      </c>
      <c r="B1544" t="inlineStr">
        <is>
          <t>Entity</t>
        </is>
      </c>
      <c r="C1544" t="inlineStr">
        <is>
          <t>MTED_Encryption_Required</t>
        </is>
      </c>
      <c r="D1544" s="6" t="inlineStr">
        <is>
          <t>false</t>
        </is>
      </c>
      <c r="E1544" s="6" t="inlineStr">
        <is>
          <t>false</t>
        </is>
      </c>
      <c r="F1544" s="12" t="inlineStr">
        <is>
          <t>PASS</t>
        </is>
      </c>
      <c r="G1544" t="inlineStr">
        <is>
          <t>SHL_LDM_EntityPropertyExtension.MTED_Encryption_Required</t>
        </is>
      </c>
      <c r="H1544" s="6" t="n"/>
    </row>
    <row r="1545">
      <c r="A1545" t="inlineStr">
        <is>
          <t>UOM_CONVERSION</t>
        </is>
      </c>
      <c r="B1545" t="inlineStr">
        <is>
          <t>Entity</t>
        </is>
      </c>
      <c r="C1545" t="inlineStr">
        <is>
          <t>MappingLevel</t>
        </is>
      </c>
      <c r="D1545" s="6" t="inlineStr">
        <is>
          <t>BLM</t>
        </is>
      </c>
      <c r="E1545" s="6" t="inlineStr">
        <is>
          <t>BLM</t>
        </is>
      </c>
      <c r="F1545" s="12" t="inlineStr">
        <is>
          <t>PASS</t>
        </is>
      </c>
      <c r="G1545" t="inlineStr">
        <is>
          <t>BIM-core.MappingLevel</t>
        </is>
      </c>
      <c r="H1545" s="6" t="n"/>
    </row>
    <row r="1546">
      <c r="A1546" t="inlineStr">
        <is>
          <t>UOM_CONVERSION</t>
        </is>
      </c>
      <c r="B1546" t="inlineStr">
        <is>
          <t>Entity</t>
        </is>
      </c>
      <c r="C1546" t="inlineStr">
        <is>
          <t>MapsToEntity</t>
        </is>
      </c>
      <c r="D1546" s="6" t="inlineStr">
        <is>
          <t>UoM_CONVERSION</t>
        </is>
      </c>
      <c r="E1546" s="6" t="inlineStr">
        <is>
          <t>UoM_CONVERSION</t>
        </is>
      </c>
      <c r="F1546" s="12" t="inlineStr">
        <is>
          <t>PASS</t>
        </is>
      </c>
      <c r="G1546" t="inlineStr">
        <is>
          <t>BIM-core.MapsToEntity</t>
        </is>
      </c>
      <c r="H1546" s="6" t="n"/>
    </row>
    <row r="1547">
      <c r="A1547" t="inlineStr">
        <is>
          <t>UOM_CONVERSION</t>
        </is>
      </c>
      <c r="B1547" t="inlineStr">
        <is>
          <t>Entity</t>
        </is>
      </c>
      <c r="C1547" t="inlineStr">
        <is>
          <t>PD_ObjectID</t>
        </is>
      </c>
      <c r="D1547" s="6" t="inlineStr">
        <is>
          <t>6E321EA9-B42C-4BAC-9053-83D2DFE136CD</t>
        </is>
      </c>
      <c r="E1547" s="6" t="inlineStr">
        <is>
          <t>6E321EA9-B42C-4BAC-9053-83D2DFE136CD</t>
        </is>
      </c>
      <c r="F1547" s="12" t="inlineStr">
        <is>
          <t>PASS</t>
        </is>
      </c>
      <c r="H1547" s="6" t="n"/>
    </row>
    <row r="1548">
      <c r="A1548" t="inlineStr">
        <is>
          <t>UOM_CONVERSION</t>
        </is>
      </c>
      <c r="B1548" t="inlineStr">
        <is>
          <t>Entity</t>
        </is>
      </c>
      <c r="C1548" t="inlineStr">
        <is>
          <t>PD_SourceExtraction</t>
        </is>
      </c>
      <c r="D1548" s="6" t="inlineStr">
        <is>
          <t>46603045</t>
        </is>
      </c>
      <c r="E1548" s="6" t="inlineStr">
        <is>
          <t>46603045</t>
        </is>
      </c>
      <c r="F1548" s="12" t="inlineStr">
        <is>
          <t>PASS</t>
        </is>
      </c>
      <c r="H1548" s="6" t="n"/>
    </row>
    <row r="1549">
      <c r="A1549" t="inlineStr">
        <is>
          <t>UOM_CONVERSION</t>
        </is>
      </c>
      <c r="B1549" t="inlineStr">
        <is>
          <t>Entity</t>
        </is>
      </c>
      <c r="C1549" t="inlineStr">
        <is>
          <t>PD_SourceModel</t>
        </is>
      </c>
      <c r="D1549" s="6" t="inlineStr">
        <is>
          <t>05_Carbon_Calculator</t>
        </is>
      </c>
      <c r="E1549" s="6" t="inlineStr">
        <is>
          <t>05_Carbon_Calculator</t>
        </is>
      </c>
      <c r="F1549" s="12" t="inlineStr">
        <is>
          <t>PASS</t>
        </is>
      </c>
      <c r="H1549" s="6" t="n"/>
    </row>
    <row r="1550">
      <c r="A1550" t="inlineStr">
        <is>
          <t>UOM_CONVERSION</t>
        </is>
      </c>
      <c r="B1550" t="inlineStr">
        <is>
          <t>Entity</t>
        </is>
      </c>
      <c r="C1550" t="inlineStr">
        <is>
          <t>SensitivePersonalData</t>
        </is>
      </c>
      <c r="D1550" s="6" t="inlineStr">
        <is>
          <t>No Sensitive Personal Data</t>
        </is>
      </c>
      <c r="E1550" s="6" t="inlineStr">
        <is>
          <t>No Sensitive Personal Data</t>
        </is>
      </c>
      <c r="F1550" s="12" t="inlineStr">
        <is>
          <t>PASS</t>
        </is>
      </c>
      <c r="G1550" t="inlineStr">
        <is>
          <t>BIM-core.SensitivePersonalData</t>
        </is>
      </c>
      <c r="H1550" s="6" t="n"/>
    </row>
    <row r="1551">
      <c r="A1551" t="inlineStr">
        <is>
          <t>UOM_CONVERSION_TYPE</t>
        </is>
      </c>
      <c r="B1551" t="inlineStr">
        <is>
          <t>Entity</t>
        </is>
      </c>
      <c r="C1551" t="inlineStr">
        <is>
          <t>CSI</t>
        </is>
      </c>
      <c r="D1551" s="6" t="inlineStr">
        <is>
          <t>false</t>
        </is>
      </c>
      <c r="E1551" s="6" t="inlineStr">
        <is>
          <t>false</t>
        </is>
      </c>
      <c r="F1551" s="12" t="inlineStr">
        <is>
          <t>PASS</t>
        </is>
      </c>
      <c r="G1551" t="inlineStr">
        <is>
          <t>SHL_LDM_EntityPropertyExtension.CSI</t>
        </is>
      </c>
      <c r="H1551" s="6" t="n"/>
    </row>
    <row r="1552">
      <c r="A1552" t="inlineStr">
        <is>
          <t>UOM_CONVERSION_TYPE</t>
        </is>
      </c>
      <c r="B1552" t="inlineStr">
        <is>
          <t>Entity</t>
        </is>
      </c>
      <c r="C1552" t="inlineStr">
        <is>
          <t>CommerciallySensitiveInformation</t>
        </is>
      </c>
      <c r="D1552" s="6" t="inlineStr">
        <is>
          <t>No Commercially Sensitive Information</t>
        </is>
      </c>
      <c r="E1552" s="6" t="inlineStr">
        <is>
          <t>No Commercially Sensitive Information</t>
        </is>
      </c>
      <c r="F1552" s="12" t="inlineStr">
        <is>
          <t>PASS</t>
        </is>
      </c>
      <c r="G1552" t="inlineStr">
        <is>
          <t>BIM-core.CommerciallySensitiveInformation</t>
        </is>
      </c>
      <c r="H1552" s="6" t="n"/>
    </row>
    <row r="1553">
      <c r="A1553" t="inlineStr">
        <is>
          <t>UOM_CONVERSION_TYPE</t>
        </is>
      </c>
      <c r="B1553" t="inlineStr">
        <is>
          <t>Entity</t>
        </is>
      </c>
      <c r="C1553" t="inlineStr">
        <is>
          <t>Criticality</t>
        </is>
      </c>
      <c r="D1553" s="6" t="inlineStr">
        <is>
          <t>No Critical Data</t>
        </is>
      </c>
      <c r="E1553" s="6" t="inlineStr">
        <is>
          <t>No Critical Data</t>
        </is>
      </c>
      <c r="F1553" s="12" t="inlineStr">
        <is>
          <t>PASS</t>
        </is>
      </c>
      <c r="G1553" t="inlineStr">
        <is>
          <t>BIM-core.Criticality</t>
        </is>
      </c>
      <c r="H1553" s="6" t="n"/>
    </row>
    <row r="1554">
      <c r="A1554" t="inlineStr">
        <is>
          <t>UOM_CONVERSION_TYPE</t>
        </is>
      </c>
      <c r="B1554" t="inlineStr">
        <is>
          <t>Entity</t>
        </is>
      </c>
      <c r="C1554" t="inlineStr">
        <is>
          <t>DataCategory</t>
        </is>
      </c>
      <c r="D1554" s="6" t="inlineStr">
        <is>
          <t>Structured</t>
        </is>
      </c>
      <c r="E1554" s="6" t="inlineStr">
        <is>
          <t>Structured</t>
        </is>
      </c>
      <c r="F1554" s="12" t="inlineStr">
        <is>
          <t>PASS</t>
        </is>
      </c>
      <c r="G1554" t="inlineStr">
        <is>
          <t>BIM-core.DataCategory</t>
        </is>
      </c>
      <c r="H1554" s="6" t="n"/>
    </row>
    <row r="1555">
      <c r="A1555" t="inlineStr">
        <is>
          <t>UOM_CONVERSION_TYPE</t>
        </is>
      </c>
      <c r="B1555" t="inlineStr">
        <is>
          <t>Entity</t>
        </is>
      </c>
      <c r="C1555" t="inlineStr">
        <is>
          <t>DataConfidentiality</t>
        </is>
      </c>
      <c r="D1555" s="6" t="inlineStr">
        <is>
          <t>Internal</t>
        </is>
      </c>
      <c r="E1555" s="6" t="inlineStr">
        <is>
          <t>Internal</t>
        </is>
      </c>
      <c r="F1555" s="12" t="inlineStr">
        <is>
          <t>PASS</t>
        </is>
      </c>
      <c r="G1555" t="inlineStr">
        <is>
          <t>BIM-core.DataConfidentiality</t>
        </is>
      </c>
      <c r="H1555" s="6" t="n"/>
    </row>
    <row r="1556">
      <c r="A1556" t="inlineStr">
        <is>
          <t>UOM_CONVERSION_TYPE</t>
        </is>
      </c>
      <c r="B1556" t="inlineStr">
        <is>
          <t>Entity</t>
        </is>
      </c>
      <c r="C1556" t="inlineStr">
        <is>
          <t>DesignStatus</t>
        </is>
      </c>
      <c r="D1556" s="6" t="inlineStr">
        <is>
          <t>Approved</t>
        </is>
      </c>
      <c r="E1556" s="6" t="inlineStr">
        <is>
          <t>Approved</t>
        </is>
      </c>
      <c r="F1556" s="12" t="inlineStr">
        <is>
          <t>PASS</t>
        </is>
      </c>
      <c r="G1556" t="inlineStr">
        <is>
          <t>BIM-core.DesignStatus</t>
        </is>
      </c>
      <c r="H1556" s="6" t="n"/>
    </row>
    <row r="1557">
      <c r="A1557" t="inlineStr">
        <is>
          <t>UOM_CONVERSION_TYPE</t>
        </is>
      </c>
      <c r="B1557" t="inlineStr">
        <is>
          <t>Entity</t>
        </is>
      </c>
      <c r="C1557" t="inlineStr">
        <is>
          <t>EntityCategory</t>
        </is>
      </c>
      <c r="D1557" s="6" t="inlineStr">
        <is>
          <t>Internal Reference</t>
        </is>
      </c>
      <c r="E1557" s="6" t="inlineStr">
        <is>
          <t>Internal Reference</t>
        </is>
      </c>
      <c r="F1557" s="12" t="inlineStr">
        <is>
          <t>PASS</t>
        </is>
      </c>
      <c r="G1557" t="inlineStr">
        <is>
          <t>BIM-core.EntityCategory</t>
        </is>
      </c>
      <c r="H1557" s="6" t="n"/>
    </row>
    <row r="1558">
      <c r="A1558" t="inlineStr">
        <is>
          <t>UOM_CONVERSION_TYPE</t>
        </is>
      </c>
      <c r="B1558" t="inlineStr">
        <is>
          <t>Entity</t>
        </is>
      </c>
      <c r="C1558" t="inlineStr">
        <is>
          <t>EntityPersonalData</t>
        </is>
      </c>
      <c r="D1558" s="6" t="inlineStr">
        <is>
          <t>No Personal Data</t>
        </is>
      </c>
      <c r="E1558" s="6" t="inlineStr">
        <is>
          <t>No Personal Data</t>
        </is>
      </c>
      <c r="F1558" s="12" t="inlineStr">
        <is>
          <t>PASS</t>
        </is>
      </c>
      <c r="G1558" t="inlineStr">
        <is>
          <t>BIM-core.EntityPersonalData</t>
        </is>
      </c>
      <c r="H1558" s="6" t="n"/>
    </row>
    <row r="1559">
      <c r="A1559" t="inlineStr">
        <is>
          <t>UOM_CONVERSION_TYPE</t>
        </is>
      </c>
      <c r="B1559" t="inlineStr">
        <is>
          <t>Entity</t>
        </is>
      </c>
      <c r="C1559" t="inlineStr">
        <is>
          <t>FinancialPersonalData</t>
        </is>
      </c>
      <c r="D1559" s="6" t="inlineStr">
        <is>
          <t>No Financial Personal Data</t>
        </is>
      </c>
      <c r="E1559" s="6" t="inlineStr">
        <is>
          <t>No Financial Personal Data</t>
        </is>
      </c>
      <c r="F1559" s="12" t="inlineStr">
        <is>
          <t>PASS</t>
        </is>
      </c>
      <c r="G1559" t="inlineStr">
        <is>
          <t>BIM-core.FinancialPersonalData</t>
        </is>
      </c>
      <c r="H1559" s="6" t="n"/>
    </row>
    <row r="1560">
      <c r="A1560" t="inlineStr">
        <is>
          <t>UOM_CONVERSION_TYPE</t>
        </is>
      </c>
      <c r="B1560" t="inlineStr">
        <is>
          <t>Entity</t>
        </is>
      </c>
      <c r="C1560" t="inlineStr">
        <is>
          <t>MTED_Encryption_Required</t>
        </is>
      </c>
      <c r="D1560" s="6" t="inlineStr">
        <is>
          <t>false</t>
        </is>
      </c>
      <c r="E1560" s="6" t="inlineStr">
        <is>
          <t>false</t>
        </is>
      </c>
      <c r="F1560" s="12" t="inlineStr">
        <is>
          <t>PASS</t>
        </is>
      </c>
      <c r="G1560" t="inlineStr">
        <is>
          <t>SHL_LDM_EntityPropertyExtension.MTED_Encryption_Required</t>
        </is>
      </c>
      <c r="H1560" s="6" t="n"/>
    </row>
    <row r="1561">
      <c r="A1561" t="inlineStr">
        <is>
          <t>UOM_CONVERSION_TYPE</t>
        </is>
      </c>
      <c r="B1561" t="inlineStr">
        <is>
          <t>Entity</t>
        </is>
      </c>
      <c r="C1561" t="inlineStr">
        <is>
          <t>MappingLevel</t>
        </is>
      </c>
      <c r="D1561" s="6" t="inlineStr">
        <is>
          <t>BLM</t>
        </is>
      </c>
      <c r="E1561" s="6" t="inlineStr">
        <is>
          <t>BLM</t>
        </is>
      </c>
      <c r="F1561" s="12" t="inlineStr">
        <is>
          <t>PASS</t>
        </is>
      </c>
      <c r="G1561" t="inlineStr">
        <is>
          <t>BIM-core.MappingLevel</t>
        </is>
      </c>
      <c r="H1561" s="6" t="n"/>
    </row>
    <row r="1562">
      <c r="A1562" t="inlineStr">
        <is>
          <t>UOM_CONVERSION_TYPE</t>
        </is>
      </c>
      <c r="B1562" t="inlineStr">
        <is>
          <t>Entity</t>
        </is>
      </c>
      <c r="C1562" t="inlineStr">
        <is>
          <t>MapsToEntity</t>
        </is>
      </c>
      <c r="D1562" s="6" t="inlineStr">
        <is>
          <t>UoM_CONVERSION_TYPE</t>
        </is>
      </c>
      <c r="E1562" s="6" t="inlineStr">
        <is>
          <t>UoM_CONVERSION_TYPE</t>
        </is>
      </c>
      <c r="F1562" s="12" t="inlineStr">
        <is>
          <t>PASS</t>
        </is>
      </c>
      <c r="G1562" t="inlineStr">
        <is>
          <t>BIM-core.MapsToEntity</t>
        </is>
      </c>
      <c r="H1562" s="6" t="n"/>
    </row>
    <row r="1563">
      <c r="A1563" t="inlineStr">
        <is>
          <t>UOM_CONVERSION_TYPE</t>
        </is>
      </c>
      <c r="B1563" t="inlineStr">
        <is>
          <t>Entity</t>
        </is>
      </c>
      <c r="C1563" t="inlineStr">
        <is>
          <t>PD_ObjectID</t>
        </is>
      </c>
      <c r="D1563" s="6" t="inlineStr">
        <is>
          <t>BF0A7345-D886-498C-BB5D-485AD9FCB30F</t>
        </is>
      </c>
      <c r="E1563" s="6" t="inlineStr">
        <is>
          <t>BF0A7345-D886-498C-BB5D-485AD9FCB30F</t>
        </is>
      </c>
      <c r="F1563" s="12" t="inlineStr">
        <is>
          <t>PASS</t>
        </is>
      </c>
      <c r="H1563" s="6" t="n"/>
    </row>
    <row r="1564">
      <c r="A1564" t="inlineStr">
        <is>
          <t>UOM_CONVERSION_TYPE</t>
        </is>
      </c>
      <c r="B1564" t="inlineStr">
        <is>
          <t>Entity</t>
        </is>
      </c>
      <c r="C1564" t="inlineStr">
        <is>
          <t>PD_SourceExtraction</t>
        </is>
      </c>
      <c r="D1564" s="6" t="inlineStr">
        <is>
          <t>46603045</t>
        </is>
      </c>
      <c r="E1564" s="6" t="inlineStr">
        <is>
          <t>46603045</t>
        </is>
      </c>
      <c r="F1564" s="12" t="inlineStr">
        <is>
          <t>PASS</t>
        </is>
      </c>
      <c r="H1564" s="6" t="n"/>
    </row>
    <row r="1565">
      <c r="A1565" t="inlineStr">
        <is>
          <t>UOM_CONVERSION_TYPE</t>
        </is>
      </c>
      <c r="B1565" t="inlineStr">
        <is>
          <t>Entity</t>
        </is>
      </c>
      <c r="C1565" t="inlineStr">
        <is>
          <t>PD_SourceModel</t>
        </is>
      </c>
      <c r="D1565" s="6" t="inlineStr">
        <is>
          <t>05_Carbon_Calculator</t>
        </is>
      </c>
      <c r="E1565" s="6" t="inlineStr">
        <is>
          <t>05_Carbon_Calculator</t>
        </is>
      </c>
      <c r="F1565" s="12" t="inlineStr">
        <is>
          <t>PASS</t>
        </is>
      </c>
      <c r="H1565" s="6" t="n"/>
    </row>
    <row r="1566">
      <c r="A1566" t="inlineStr">
        <is>
          <t>UOM_CONVERSION_TYPE</t>
        </is>
      </c>
      <c r="B1566" t="inlineStr">
        <is>
          <t>Entity</t>
        </is>
      </c>
      <c r="C1566" t="inlineStr">
        <is>
          <t>SensitivePersonalData</t>
        </is>
      </c>
      <c r="D1566" s="6" t="inlineStr">
        <is>
          <t>No Sensitive Personal Data</t>
        </is>
      </c>
      <c r="E1566" s="6" t="inlineStr">
        <is>
          <t>No Sensitive Personal Data</t>
        </is>
      </c>
      <c r="F1566" s="12" t="inlineStr">
        <is>
          <t>PASS</t>
        </is>
      </c>
      <c r="G1566" t="inlineStr">
        <is>
          <t>BIM-core.SensitivePersonalData</t>
        </is>
      </c>
      <c r="H1566" s="6" t="n"/>
    </row>
    <row r="1567">
      <c r="A1567" t="inlineStr">
        <is>
          <t>UOM_DERIVATION</t>
        </is>
      </c>
      <c r="B1567" t="inlineStr">
        <is>
          <t>Entity</t>
        </is>
      </c>
      <c r="C1567" t="inlineStr">
        <is>
          <t>CSI</t>
        </is>
      </c>
      <c r="D1567" s="6" t="inlineStr">
        <is>
          <t>false</t>
        </is>
      </c>
      <c r="E1567" s="6" t="inlineStr">
        <is>
          <t>false</t>
        </is>
      </c>
      <c r="F1567" s="12" t="inlineStr">
        <is>
          <t>PASS</t>
        </is>
      </c>
      <c r="G1567" t="inlineStr">
        <is>
          <t>SHL_LDM_EntityPropertyExtension.CSI</t>
        </is>
      </c>
      <c r="H1567" s="6" t="n"/>
    </row>
    <row r="1568">
      <c r="A1568" t="inlineStr">
        <is>
          <t>UOM_DERIVATION</t>
        </is>
      </c>
      <c r="B1568" t="inlineStr">
        <is>
          <t>Entity</t>
        </is>
      </c>
      <c r="C1568" t="inlineStr">
        <is>
          <t>CommerciallySensitiveInformation</t>
        </is>
      </c>
      <c r="D1568" s="6" t="inlineStr">
        <is>
          <t>No Commercially Sensitive Information</t>
        </is>
      </c>
      <c r="E1568" s="6" t="inlineStr">
        <is>
          <t>No Commercially Sensitive Information</t>
        </is>
      </c>
      <c r="F1568" s="12" t="inlineStr">
        <is>
          <t>PASS</t>
        </is>
      </c>
      <c r="G1568" t="inlineStr">
        <is>
          <t>BIM-core.CommerciallySensitiveInformation</t>
        </is>
      </c>
      <c r="H1568" s="6" t="n"/>
    </row>
    <row r="1569">
      <c r="A1569" t="inlineStr">
        <is>
          <t>UOM_DERIVATION</t>
        </is>
      </c>
      <c r="B1569" t="inlineStr">
        <is>
          <t>Entity</t>
        </is>
      </c>
      <c r="C1569" t="inlineStr">
        <is>
          <t>Criticality</t>
        </is>
      </c>
      <c r="D1569" s="6" t="inlineStr">
        <is>
          <t>No Critical Data</t>
        </is>
      </c>
      <c r="E1569" s="6" t="inlineStr">
        <is>
          <t>No Critical Data</t>
        </is>
      </c>
      <c r="F1569" s="12" t="inlineStr">
        <is>
          <t>PASS</t>
        </is>
      </c>
      <c r="G1569" t="inlineStr">
        <is>
          <t>BIM-core.Criticality</t>
        </is>
      </c>
      <c r="H1569" s="6" t="n"/>
    </row>
    <row r="1570">
      <c r="A1570" t="inlineStr">
        <is>
          <t>UOM_DERIVATION</t>
        </is>
      </c>
      <c r="B1570" t="inlineStr">
        <is>
          <t>Entity</t>
        </is>
      </c>
      <c r="C1570" t="inlineStr">
        <is>
          <t>DataCategory</t>
        </is>
      </c>
      <c r="D1570" s="6" t="inlineStr">
        <is>
          <t>Structured</t>
        </is>
      </c>
      <c r="E1570" s="6" t="inlineStr">
        <is>
          <t>Structured</t>
        </is>
      </c>
      <c r="F1570" s="12" t="inlineStr">
        <is>
          <t>PASS</t>
        </is>
      </c>
      <c r="G1570" t="inlineStr">
        <is>
          <t>BIM-core.DataCategory</t>
        </is>
      </c>
      <c r="H1570" s="6" t="n"/>
    </row>
    <row r="1571">
      <c r="A1571" t="inlineStr">
        <is>
          <t>UOM_DERIVATION</t>
        </is>
      </c>
      <c r="B1571" t="inlineStr">
        <is>
          <t>Entity</t>
        </is>
      </c>
      <c r="C1571" t="inlineStr">
        <is>
          <t>DataConfidentiality</t>
        </is>
      </c>
      <c r="D1571" s="6" t="inlineStr">
        <is>
          <t>Internal</t>
        </is>
      </c>
      <c r="E1571" s="6" t="inlineStr">
        <is>
          <t>Internal</t>
        </is>
      </c>
      <c r="F1571" s="12" t="inlineStr">
        <is>
          <t>PASS</t>
        </is>
      </c>
      <c r="G1571" t="inlineStr">
        <is>
          <t>BIM-core.DataConfidentiality</t>
        </is>
      </c>
      <c r="H1571" s="6" t="n"/>
    </row>
    <row r="1572">
      <c r="A1572" t="inlineStr">
        <is>
          <t>UOM_DERIVATION</t>
        </is>
      </c>
      <c r="B1572" t="inlineStr">
        <is>
          <t>Entity</t>
        </is>
      </c>
      <c r="C1572" t="inlineStr">
        <is>
          <t>DesignStatus</t>
        </is>
      </c>
      <c r="D1572" s="6" t="inlineStr">
        <is>
          <t>Approved</t>
        </is>
      </c>
      <c r="E1572" s="6" t="inlineStr">
        <is>
          <t>Approved</t>
        </is>
      </c>
      <c r="F1572" s="12" t="inlineStr">
        <is>
          <t>PASS</t>
        </is>
      </c>
      <c r="G1572" t="inlineStr">
        <is>
          <t>BIM-core.DesignStatus</t>
        </is>
      </c>
      <c r="H1572" s="6" t="n"/>
    </row>
    <row r="1573">
      <c r="A1573" t="inlineStr">
        <is>
          <t>UOM_DERIVATION</t>
        </is>
      </c>
      <c r="B1573" t="inlineStr">
        <is>
          <t>Entity</t>
        </is>
      </c>
      <c r="C1573" t="inlineStr">
        <is>
          <t>EntityCategory</t>
        </is>
      </c>
      <c r="D1573" s="6" t="inlineStr">
        <is>
          <t>Internal Reference</t>
        </is>
      </c>
      <c r="E1573" s="6" t="inlineStr">
        <is>
          <t>Internal Reference</t>
        </is>
      </c>
      <c r="F1573" s="12" t="inlineStr">
        <is>
          <t>PASS</t>
        </is>
      </c>
      <c r="G1573" t="inlineStr">
        <is>
          <t>BIM-core.EntityCategory</t>
        </is>
      </c>
      <c r="H1573" s="6" t="n"/>
    </row>
    <row r="1574">
      <c r="A1574" t="inlineStr">
        <is>
          <t>UOM_DERIVATION</t>
        </is>
      </c>
      <c r="B1574" t="inlineStr">
        <is>
          <t>Entity</t>
        </is>
      </c>
      <c r="C1574" t="inlineStr">
        <is>
          <t>EntityPersonalData</t>
        </is>
      </c>
      <c r="D1574" s="6" t="inlineStr">
        <is>
          <t>No Personal Data</t>
        </is>
      </c>
      <c r="E1574" s="6" t="inlineStr">
        <is>
          <t>No Personal Data</t>
        </is>
      </c>
      <c r="F1574" s="12" t="inlineStr">
        <is>
          <t>PASS</t>
        </is>
      </c>
      <c r="G1574" t="inlineStr">
        <is>
          <t>BIM-core.EntityPersonalData</t>
        </is>
      </c>
      <c r="H1574" s="6" t="n"/>
    </row>
    <row r="1575">
      <c r="A1575" t="inlineStr">
        <is>
          <t>UOM_DERIVATION</t>
        </is>
      </c>
      <c r="B1575" t="inlineStr">
        <is>
          <t>Entity</t>
        </is>
      </c>
      <c r="C1575" t="inlineStr">
        <is>
          <t>FinancialPersonalData</t>
        </is>
      </c>
      <c r="D1575" s="6" t="inlineStr">
        <is>
          <t>No Financial Personal Data</t>
        </is>
      </c>
      <c r="E1575" s="6" t="inlineStr">
        <is>
          <t>No Financial Personal Data</t>
        </is>
      </c>
      <c r="F1575" s="12" t="inlineStr">
        <is>
          <t>PASS</t>
        </is>
      </c>
      <c r="G1575" t="inlineStr">
        <is>
          <t>BIM-core.FinancialPersonalData</t>
        </is>
      </c>
      <c r="H1575" s="6" t="n"/>
    </row>
    <row r="1576">
      <c r="A1576" t="inlineStr">
        <is>
          <t>UOM_DERIVATION</t>
        </is>
      </c>
      <c r="B1576" t="inlineStr">
        <is>
          <t>Entity</t>
        </is>
      </c>
      <c r="C1576" t="inlineStr">
        <is>
          <t>MTED_Encryption_Required</t>
        </is>
      </c>
      <c r="D1576" s="6" t="inlineStr">
        <is>
          <t>false</t>
        </is>
      </c>
      <c r="E1576" s="6" t="inlineStr">
        <is>
          <t>false</t>
        </is>
      </c>
      <c r="F1576" s="12" t="inlineStr">
        <is>
          <t>PASS</t>
        </is>
      </c>
      <c r="G1576" t="inlineStr">
        <is>
          <t>SHL_LDM_EntityPropertyExtension.MTED_Encryption_Required</t>
        </is>
      </c>
      <c r="H1576" s="6" t="n"/>
    </row>
    <row r="1577">
      <c r="A1577" t="inlineStr">
        <is>
          <t>UOM_DERIVATION</t>
        </is>
      </c>
      <c r="B1577" t="inlineStr">
        <is>
          <t>Entity</t>
        </is>
      </c>
      <c r="C1577" t="inlineStr">
        <is>
          <t>MappingLevel</t>
        </is>
      </c>
      <c r="D1577" s="6" t="inlineStr">
        <is>
          <t>BLM</t>
        </is>
      </c>
      <c r="E1577" s="6" t="inlineStr">
        <is>
          <t>BLM</t>
        </is>
      </c>
      <c r="F1577" s="12" t="inlineStr">
        <is>
          <t>PASS</t>
        </is>
      </c>
      <c r="G1577" t="inlineStr">
        <is>
          <t>BIM-core.MappingLevel</t>
        </is>
      </c>
      <c r="H1577" s="6" t="n"/>
    </row>
    <row r="1578">
      <c r="A1578" t="inlineStr">
        <is>
          <t>UOM_DERIVATION</t>
        </is>
      </c>
      <c r="B1578" t="inlineStr">
        <is>
          <t>Entity</t>
        </is>
      </c>
      <c r="C1578" t="inlineStr">
        <is>
          <t>MapsToEntity</t>
        </is>
      </c>
      <c r="D1578" s="6" t="inlineStr">
        <is>
          <t>UoM_DERIVATION</t>
        </is>
      </c>
      <c r="E1578" s="6" t="inlineStr">
        <is>
          <t>UoM_DERIVATION</t>
        </is>
      </c>
      <c r="F1578" s="12" t="inlineStr">
        <is>
          <t>PASS</t>
        </is>
      </c>
      <c r="G1578" t="inlineStr">
        <is>
          <t>BIM-core.MapsToEntity</t>
        </is>
      </c>
      <c r="H1578" s="6" t="n"/>
    </row>
    <row r="1579">
      <c r="A1579" t="inlineStr">
        <is>
          <t>UOM_DERIVATION</t>
        </is>
      </c>
      <c r="B1579" t="inlineStr">
        <is>
          <t>Entity</t>
        </is>
      </c>
      <c r="C1579" t="inlineStr">
        <is>
          <t>PD_ObjectID</t>
        </is>
      </c>
      <c r="D1579" s="6" t="inlineStr">
        <is>
          <t>835F3411-13F5-464D-9B7F-2AEA89ED9D10</t>
        </is>
      </c>
      <c r="E1579" s="6" t="inlineStr">
        <is>
          <t>835F3411-13F5-464D-9B7F-2AEA89ED9D10</t>
        </is>
      </c>
      <c r="F1579" s="12" t="inlineStr">
        <is>
          <t>PASS</t>
        </is>
      </c>
      <c r="H1579" s="6" t="n"/>
    </row>
    <row r="1580">
      <c r="A1580" t="inlineStr">
        <is>
          <t>UOM_DERIVATION</t>
        </is>
      </c>
      <c r="B1580" t="inlineStr">
        <is>
          <t>Entity</t>
        </is>
      </c>
      <c r="C1580" t="inlineStr">
        <is>
          <t>PD_SourceExtraction</t>
        </is>
      </c>
      <c r="D1580" s="6" t="inlineStr">
        <is>
          <t>46603045</t>
        </is>
      </c>
      <c r="E1580" s="6" t="inlineStr">
        <is>
          <t>46603045</t>
        </is>
      </c>
      <c r="F1580" s="12" t="inlineStr">
        <is>
          <t>PASS</t>
        </is>
      </c>
      <c r="H1580" s="6" t="n"/>
    </row>
    <row r="1581">
      <c r="A1581" t="inlineStr">
        <is>
          <t>UOM_DERIVATION</t>
        </is>
      </c>
      <c r="B1581" t="inlineStr">
        <is>
          <t>Entity</t>
        </is>
      </c>
      <c r="C1581" t="inlineStr">
        <is>
          <t>PD_SourceModel</t>
        </is>
      </c>
      <c r="D1581" s="6" t="inlineStr">
        <is>
          <t>05_Carbon_Calculator</t>
        </is>
      </c>
      <c r="E1581" s="6" t="inlineStr">
        <is>
          <t>05_Carbon_Calculator</t>
        </is>
      </c>
      <c r="F1581" s="12" t="inlineStr">
        <is>
          <t>PASS</t>
        </is>
      </c>
      <c r="H1581" s="6" t="n"/>
    </row>
    <row r="1582">
      <c r="A1582" t="inlineStr">
        <is>
          <t>UOM_DERIVATION</t>
        </is>
      </c>
      <c r="B1582" t="inlineStr">
        <is>
          <t>Entity</t>
        </is>
      </c>
      <c r="C1582" t="inlineStr">
        <is>
          <t>SensitivePersonalData</t>
        </is>
      </c>
      <c r="D1582" s="6" t="inlineStr">
        <is>
          <t>No Sensitive Personal Data</t>
        </is>
      </c>
      <c r="E1582" s="6" t="inlineStr">
        <is>
          <t>No Sensitive Personal Data</t>
        </is>
      </c>
      <c r="F1582" s="12" t="inlineStr">
        <is>
          <t>PASS</t>
        </is>
      </c>
      <c r="G1582" t="inlineStr">
        <is>
          <t>BIM-core.SensitivePersonalData</t>
        </is>
      </c>
      <c r="H1582" s="6" t="n"/>
    </row>
    <row r="1583">
      <c r="A1583" t="inlineStr">
        <is>
          <t>ACTIVITY_CATEGORY_PARAMETER</t>
        </is>
      </c>
      <c r="B1583" t="inlineStr">
        <is>
          <t>Entity</t>
        </is>
      </c>
      <c r="C1583" t="inlineStr">
        <is>
          <t>DataArea</t>
        </is>
      </c>
      <c r="D1583" s="6" t="n"/>
      <c r="E1583" s="6" t="n"/>
      <c r="F1583" t="inlineStr">
        <is>
          <t>BLANK IN SAP</t>
        </is>
      </c>
      <c r="G1583" t="inlineStr">
        <is>
          <t>BIM-core.DataArea</t>
        </is>
      </c>
      <c r="H1583" s="6" t="inlineStr">
        <is>
          <t>The property exists on the source object but holds no value, so erwin holding nothing is correct.</t>
        </is>
      </c>
    </row>
    <row r="1584">
      <c r="A1584" t="inlineStr">
        <is>
          <t>ACTIVITY_CATEGORY_TYPE</t>
        </is>
      </c>
      <c r="B1584" t="inlineStr">
        <is>
          <t>Entity</t>
        </is>
      </c>
      <c r="C1584" t="inlineStr">
        <is>
          <t>DataArea</t>
        </is>
      </c>
      <c r="D1584" s="6" t="n"/>
      <c r="E1584" s="6" t="n"/>
      <c r="F1584" t="inlineStr">
        <is>
          <t>BLANK IN SAP</t>
        </is>
      </c>
      <c r="G1584" t="inlineStr">
        <is>
          <t>BIM-core.DataArea</t>
        </is>
      </c>
      <c r="H1584" s="6" t="inlineStr">
        <is>
          <t>The property exists on the source object but holds no value, so erwin holding nothing is correct.</t>
        </is>
      </c>
    </row>
    <row r="1585">
      <c r="A1585" t="inlineStr">
        <is>
          <t>ACTIVITY_TYPE_PARAMETER</t>
        </is>
      </c>
      <c r="B1585" t="inlineStr">
        <is>
          <t>Entity</t>
        </is>
      </c>
      <c r="C1585" t="inlineStr">
        <is>
          <t>DataArea</t>
        </is>
      </c>
      <c r="D1585" s="6" t="n"/>
      <c r="E1585" s="6" t="n"/>
      <c r="F1585" t="inlineStr">
        <is>
          <t>BLANK IN SAP</t>
        </is>
      </c>
      <c r="G1585" t="inlineStr">
        <is>
          <t>BIM-core.DataArea</t>
        </is>
      </c>
      <c r="H1585" s="6" t="inlineStr">
        <is>
          <t>The property exists on the source object but holds no value, so erwin holding nothing is correct.</t>
        </is>
      </c>
    </row>
    <row r="1586">
      <c r="A1586" t="inlineStr">
        <is>
          <t>ACTIVITY_TYPE_PARAMETER_FACTOR</t>
        </is>
      </c>
      <c r="B1586" t="inlineStr">
        <is>
          <t>Entity</t>
        </is>
      </c>
      <c r="C1586" t="inlineStr">
        <is>
          <t>DataArea</t>
        </is>
      </c>
      <c r="D1586" s="6" t="n"/>
      <c r="E1586" s="6" t="n"/>
      <c r="F1586" t="inlineStr">
        <is>
          <t>BLANK IN SAP</t>
        </is>
      </c>
      <c r="G1586" t="inlineStr">
        <is>
          <t>BIM-core.DataArea</t>
        </is>
      </c>
      <c r="H1586" s="6" t="inlineStr">
        <is>
          <t>The property exists on the source object but holds no value, so erwin holding nothing is correct.</t>
        </is>
      </c>
    </row>
    <row r="1587">
      <c r="A1587" t="inlineStr">
        <is>
          <t>DIMENSION</t>
        </is>
      </c>
      <c r="B1587" t="inlineStr">
        <is>
          <t>Entity</t>
        </is>
      </c>
      <c r="C1587" t="inlineStr">
        <is>
          <t>DataArea</t>
        </is>
      </c>
      <c r="D1587" s="6" t="n"/>
      <c r="E1587" s="6" t="n"/>
      <c r="F1587" t="inlineStr">
        <is>
          <t>BLANK IN SAP</t>
        </is>
      </c>
      <c r="G1587" t="inlineStr">
        <is>
          <t>BIM-core.DataArea</t>
        </is>
      </c>
      <c r="H1587" s="6" t="inlineStr">
        <is>
          <t>The property exists on the source object but holds no value, so erwin holding nothing is correct.</t>
        </is>
      </c>
    </row>
    <row r="1588">
      <c r="A1588" t="inlineStr">
        <is>
          <t>FUEL_PRODUCT</t>
        </is>
      </c>
      <c r="B1588" t="inlineStr">
        <is>
          <t>Entity</t>
        </is>
      </c>
      <c r="C1588" t="inlineStr">
        <is>
          <t>DataArea</t>
        </is>
      </c>
      <c r="D1588" s="6" t="n"/>
      <c r="E1588" s="6" t="n"/>
      <c r="F1588" t="inlineStr">
        <is>
          <t>BLANK IN SAP</t>
        </is>
      </c>
      <c r="G1588" t="inlineStr">
        <is>
          <t>BIM-core.DataArea</t>
        </is>
      </c>
      <c r="H1588" s="6" t="inlineStr">
        <is>
          <t>The property exists on the source object but holds no value, so erwin holding nothing is correct.</t>
        </is>
      </c>
    </row>
    <row r="1589">
      <c r="A1589" t="inlineStr">
        <is>
          <t>PRODUCT</t>
        </is>
      </c>
      <c r="B1589" t="inlineStr">
        <is>
          <t>Entity</t>
        </is>
      </c>
      <c r="C1589" t="inlineStr">
        <is>
          <t>DataArea</t>
        </is>
      </c>
      <c r="D1589" s="6" t="n"/>
      <c r="E1589" s="6" t="n"/>
      <c r="F1589" t="inlineStr">
        <is>
          <t>BLANK IN SAP</t>
        </is>
      </c>
      <c r="G1589" t="inlineStr">
        <is>
          <t>BIM-core.DataArea</t>
        </is>
      </c>
      <c r="H1589" s="6" t="inlineStr">
        <is>
          <t>The property exists on the source object but holds no value, so erwin holding nothing is correct.</t>
        </is>
      </c>
    </row>
    <row r="1590">
      <c r="A1590" t="inlineStr">
        <is>
          <t>PRODUCT_EMISSION_COMPONENT</t>
        </is>
      </c>
      <c r="B1590" t="inlineStr">
        <is>
          <t>Entity</t>
        </is>
      </c>
      <c r="C1590" t="inlineStr">
        <is>
          <t>DataArea</t>
        </is>
      </c>
      <c r="D1590" s="6" t="n"/>
      <c r="E1590" s="6" t="n"/>
      <c r="F1590" t="inlineStr">
        <is>
          <t>BLANK IN SAP</t>
        </is>
      </c>
      <c r="G1590" t="inlineStr">
        <is>
          <t>BIM-core.DataArea</t>
        </is>
      </c>
      <c r="H1590" s="6" t="inlineStr">
        <is>
          <t>The property exists on the source object but holds no value, so erwin holding nothing is correct.</t>
        </is>
      </c>
    </row>
    <row r="1591">
      <c r="A1591" t="inlineStr">
        <is>
          <t>PRODUCT_PROPERTY_VALUE</t>
        </is>
      </c>
      <c r="B1591" t="inlineStr">
        <is>
          <t>Entity</t>
        </is>
      </c>
      <c r="C1591" t="inlineStr">
        <is>
          <t>DataArea</t>
        </is>
      </c>
      <c r="D1591" s="6" t="n"/>
      <c r="E1591" s="6" t="n"/>
      <c r="F1591" t="inlineStr">
        <is>
          <t>BLANK IN SAP</t>
        </is>
      </c>
      <c r="G1591" t="inlineStr">
        <is>
          <t>BIM-core.DataArea</t>
        </is>
      </c>
      <c r="H1591" s="6" t="inlineStr">
        <is>
          <t>The property exists on the source object but holds no value, so erwin holding nothing is correct.</t>
        </is>
      </c>
    </row>
    <row r="1592">
      <c r="A1592" t="inlineStr">
        <is>
          <t>PROPERTY_TYPE</t>
        </is>
      </c>
      <c r="B1592" t="inlineStr">
        <is>
          <t>Entity</t>
        </is>
      </c>
      <c r="C1592" t="inlineStr">
        <is>
          <t>DataArea</t>
        </is>
      </c>
      <c r="D1592" s="6" t="n"/>
      <c r="E1592" s="6" t="n"/>
      <c r="F1592" t="inlineStr">
        <is>
          <t>BLANK IN SAP</t>
        </is>
      </c>
      <c r="G1592" t="inlineStr">
        <is>
          <t>BIM-core.DataArea</t>
        </is>
      </c>
      <c r="H1592" s="6" t="inlineStr">
        <is>
          <t>The property exists on the source object but holds no value, so erwin holding nothing is correct.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 ht="28" customHeight="1">
      <c r="A1" s="10" t="inlineStr">
        <is>
          <t>UDP Name</t>
        </is>
      </c>
      <c r="B1" s="10" t="inlineStr">
        <is>
          <t>Rows</t>
        </is>
      </c>
      <c r="C1" s="10" t="inlineStr">
        <is>
          <t>PASS</t>
        </is>
      </c>
      <c r="D1" s="10" t="inlineStr">
        <is>
          <t>MISMATCH</t>
        </is>
      </c>
      <c r="E1" s="10" t="inlineStr">
        <is>
          <t>MISSING</t>
        </is>
      </c>
      <c r="F1" s="10" t="inlineStr">
        <is>
          <t>BLANK IN SAP</t>
        </is>
      </c>
      <c r="G1" s="10" t="inlineStr">
        <is>
          <t>EXTRA IN ERWIN</t>
        </is>
      </c>
      <c r="H1" s="10" t="inlineStr">
        <is>
          <t>Pass Rate</t>
        </is>
      </c>
      <c r="I1" s="10" t="inlineStr">
        <is>
          <t>Verdict</t>
        </is>
      </c>
    </row>
    <row r="2">
      <c r="A2" s="13" t="inlineStr">
        <is>
          <t>CSI</t>
        </is>
      </c>
      <c r="B2" s="13">
        <f>COUNTIF('UDP Comparison'!$C$2:$C$1592,$A2)</f>
        <v/>
      </c>
      <c r="C2" s="13">
        <f>COUNTIFS('UDP Comparison'!$C$2:$C$1592,$A2,'UDP Comparison'!$F$2:$F$1592,"PASS")</f>
        <v/>
      </c>
      <c r="D2" s="13">
        <f>COUNTIFS('UDP Comparison'!$C$2:$C$1592,$A2,'UDP Comparison'!$F$2:$F$1592,"MISMATCH")</f>
        <v/>
      </c>
      <c r="E2" s="13">
        <f>COUNTIFS('UDP Comparison'!$C$2:$C$1592,$A2,'UDP Comparison'!$F$2:$F$1592,"MISSING")</f>
        <v/>
      </c>
      <c r="F2" s="13">
        <f>COUNTIFS('UDP Comparison'!$C$2:$C$1592,$A2,'UDP Comparison'!$F$2:$F$1592,"BLANK IN SAP")</f>
        <v/>
      </c>
      <c r="G2" s="13">
        <f>COUNTIFS('UDP Comparison'!$C$2:$C$1592,$A2,'UDP Comparison'!$F$2:$F$1592,"EXTRA IN ERWIN")</f>
        <v/>
      </c>
      <c r="H2" s="14">
        <f>IF(($C2+$D2+$E2)=0,0,$C2/($C2+$D2+$E2))</f>
        <v/>
      </c>
      <c r="I2" s="13">
        <f>IF(($C2+$D2+$E2)=0,"Nothing to migrate",IF($C2=($C2+$D2+$E2),"PASS",IF($C2=0,"FAIL - none matched","REVIEW REQUIRED")))</f>
        <v/>
      </c>
    </row>
    <row r="3">
      <c r="A3" s="13" t="inlineStr">
        <is>
          <t>CommerciallySensitiveInformation</t>
        </is>
      </c>
      <c r="B3" s="13">
        <f>COUNTIF('UDP Comparison'!$C$2:$C$1592,$A3)</f>
        <v/>
      </c>
      <c r="C3" s="13">
        <f>COUNTIFS('UDP Comparison'!$C$2:$C$1592,$A3,'UDP Comparison'!$F$2:$F$1592,"PASS")</f>
        <v/>
      </c>
      <c r="D3" s="13">
        <f>COUNTIFS('UDP Comparison'!$C$2:$C$1592,$A3,'UDP Comparison'!$F$2:$F$1592,"MISMATCH")</f>
        <v/>
      </c>
      <c r="E3" s="13">
        <f>COUNTIFS('UDP Comparison'!$C$2:$C$1592,$A3,'UDP Comparison'!$F$2:$F$1592,"MISSING")</f>
        <v/>
      </c>
      <c r="F3" s="13">
        <f>COUNTIFS('UDP Comparison'!$C$2:$C$1592,$A3,'UDP Comparison'!$F$2:$F$1592,"BLANK IN SAP")</f>
        <v/>
      </c>
      <c r="G3" s="13">
        <f>COUNTIFS('UDP Comparison'!$C$2:$C$1592,$A3,'UDP Comparison'!$F$2:$F$1592,"EXTRA IN ERWIN")</f>
        <v/>
      </c>
      <c r="H3" s="14">
        <f>IF(($C3+$D3+$E3)=0,0,$C3/($C3+$D3+$E3))</f>
        <v/>
      </c>
      <c r="I3" s="13">
        <f>IF(($C3+$D3+$E3)=0,"Nothing to migrate",IF($C3=($C3+$D3+$E3),"PASS",IF($C3=0,"FAIL - none matched","REVIEW REQUIRED")))</f>
        <v/>
      </c>
    </row>
    <row r="4">
      <c r="A4" s="13" t="inlineStr">
        <is>
          <t>Criticality</t>
        </is>
      </c>
      <c r="B4" s="13">
        <f>COUNTIF('UDP Comparison'!$C$2:$C$1592,$A4)</f>
        <v/>
      </c>
      <c r="C4" s="13">
        <f>COUNTIFS('UDP Comparison'!$C$2:$C$1592,$A4,'UDP Comparison'!$F$2:$F$1592,"PASS")</f>
        <v/>
      </c>
      <c r="D4" s="13">
        <f>COUNTIFS('UDP Comparison'!$C$2:$C$1592,$A4,'UDP Comparison'!$F$2:$F$1592,"MISMATCH")</f>
        <v/>
      </c>
      <c r="E4" s="13">
        <f>COUNTIFS('UDP Comparison'!$C$2:$C$1592,$A4,'UDP Comparison'!$F$2:$F$1592,"MISSING")</f>
        <v/>
      </c>
      <c r="F4" s="13">
        <f>COUNTIFS('UDP Comparison'!$C$2:$C$1592,$A4,'UDP Comparison'!$F$2:$F$1592,"BLANK IN SAP")</f>
        <v/>
      </c>
      <c r="G4" s="13">
        <f>COUNTIFS('UDP Comparison'!$C$2:$C$1592,$A4,'UDP Comparison'!$F$2:$F$1592,"EXTRA IN ERWIN")</f>
        <v/>
      </c>
      <c r="H4" s="14">
        <f>IF(($C4+$D4+$E4)=0,0,$C4/($C4+$D4+$E4))</f>
        <v/>
      </c>
      <c r="I4" s="13">
        <f>IF(($C4+$D4+$E4)=0,"Nothing to migrate",IF($C4=($C4+$D4+$E4),"PASS",IF($C4=0,"FAIL - none matched","REVIEW REQUIRED")))</f>
        <v/>
      </c>
    </row>
    <row r="5">
      <c r="A5" s="13" t="inlineStr">
        <is>
          <t>DataArea</t>
        </is>
      </c>
      <c r="B5" s="13">
        <f>COUNTIF('UDP Comparison'!$C$2:$C$1592,$A5)</f>
        <v/>
      </c>
      <c r="C5" s="13">
        <f>COUNTIFS('UDP Comparison'!$C$2:$C$1592,$A5,'UDP Comparison'!$F$2:$F$1592,"PASS")</f>
        <v/>
      </c>
      <c r="D5" s="13">
        <f>COUNTIFS('UDP Comparison'!$C$2:$C$1592,$A5,'UDP Comparison'!$F$2:$F$1592,"MISMATCH")</f>
        <v/>
      </c>
      <c r="E5" s="13">
        <f>COUNTIFS('UDP Comparison'!$C$2:$C$1592,$A5,'UDP Comparison'!$F$2:$F$1592,"MISSING")</f>
        <v/>
      </c>
      <c r="F5" s="13">
        <f>COUNTIFS('UDP Comparison'!$C$2:$C$1592,$A5,'UDP Comparison'!$F$2:$F$1592,"BLANK IN SAP")</f>
        <v/>
      </c>
      <c r="G5" s="13">
        <f>COUNTIFS('UDP Comparison'!$C$2:$C$1592,$A5,'UDP Comparison'!$F$2:$F$1592,"EXTRA IN ERWIN")</f>
        <v/>
      </c>
      <c r="H5" s="14">
        <f>IF(($C5+$D5+$E5)=0,0,$C5/($C5+$D5+$E5))</f>
        <v/>
      </c>
      <c r="I5" s="13">
        <f>IF(($C5+$D5+$E5)=0,"Nothing to migrate",IF($C5=($C5+$D5+$E5),"PASS",IF($C5=0,"FAIL - none matched","REVIEW REQUIRED")))</f>
        <v/>
      </c>
    </row>
    <row r="6">
      <c r="A6" s="13" t="inlineStr">
        <is>
          <t>DataCategory</t>
        </is>
      </c>
      <c r="B6" s="13">
        <f>COUNTIF('UDP Comparison'!$C$2:$C$1592,$A6)</f>
        <v/>
      </c>
      <c r="C6" s="13">
        <f>COUNTIFS('UDP Comparison'!$C$2:$C$1592,$A6,'UDP Comparison'!$F$2:$F$1592,"PASS")</f>
        <v/>
      </c>
      <c r="D6" s="13">
        <f>COUNTIFS('UDP Comparison'!$C$2:$C$1592,$A6,'UDP Comparison'!$F$2:$F$1592,"MISMATCH")</f>
        <v/>
      </c>
      <c r="E6" s="13">
        <f>COUNTIFS('UDP Comparison'!$C$2:$C$1592,$A6,'UDP Comparison'!$F$2:$F$1592,"MISSING")</f>
        <v/>
      </c>
      <c r="F6" s="13">
        <f>COUNTIFS('UDP Comparison'!$C$2:$C$1592,$A6,'UDP Comparison'!$F$2:$F$1592,"BLANK IN SAP")</f>
        <v/>
      </c>
      <c r="G6" s="13">
        <f>COUNTIFS('UDP Comparison'!$C$2:$C$1592,$A6,'UDP Comparison'!$F$2:$F$1592,"EXTRA IN ERWIN")</f>
        <v/>
      </c>
      <c r="H6" s="14">
        <f>IF(($C6+$D6+$E6)=0,0,$C6/($C6+$D6+$E6))</f>
        <v/>
      </c>
      <c r="I6" s="13">
        <f>IF(($C6+$D6+$E6)=0,"Nothing to migrate",IF($C6=($C6+$D6+$E6),"PASS",IF($C6=0,"FAIL - none matched","REVIEW REQUIRED")))</f>
        <v/>
      </c>
    </row>
    <row r="7">
      <c r="A7" s="13" t="inlineStr">
        <is>
          <t>DataConfidentiality</t>
        </is>
      </c>
      <c r="B7" s="13">
        <f>COUNTIF('UDP Comparison'!$C$2:$C$1592,$A7)</f>
        <v/>
      </c>
      <c r="C7" s="13">
        <f>COUNTIFS('UDP Comparison'!$C$2:$C$1592,$A7,'UDP Comparison'!$F$2:$F$1592,"PASS")</f>
        <v/>
      </c>
      <c r="D7" s="13">
        <f>COUNTIFS('UDP Comparison'!$C$2:$C$1592,$A7,'UDP Comparison'!$F$2:$F$1592,"MISMATCH")</f>
        <v/>
      </c>
      <c r="E7" s="13">
        <f>COUNTIFS('UDP Comparison'!$C$2:$C$1592,$A7,'UDP Comparison'!$F$2:$F$1592,"MISSING")</f>
        <v/>
      </c>
      <c r="F7" s="13">
        <f>COUNTIFS('UDP Comparison'!$C$2:$C$1592,$A7,'UDP Comparison'!$F$2:$F$1592,"BLANK IN SAP")</f>
        <v/>
      </c>
      <c r="G7" s="13">
        <f>COUNTIFS('UDP Comparison'!$C$2:$C$1592,$A7,'UDP Comparison'!$F$2:$F$1592,"EXTRA IN ERWIN")</f>
        <v/>
      </c>
      <c r="H7" s="14">
        <f>IF(($C7+$D7+$E7)=0,0,$C7/($C7+$D7+$E7))</f>
        <v/>
      </c>
      <c r="I7" s="13">
        <f>IF(($C7+$D7+$E7)=0,"Nothing to migrate",IF($C7=($C7+$D7+$E7),"PASS",IF($C7=0,"FAIL - none matched","REVIEW REQUIRED")))</f>
        <v/>
      </c>
    </row>
    <row r="8">
      <c r="A8" s="13" t="inlineStr">
        <is>
          <t>DesignStatus</t>
        </is>
      </c>
      <c r="B8" s="13">
        <f>COUNTIF('UDP Comparison'!$C$2:$C$1592,$A8)</f>
        <v/>
      </c>
      <c r="C8" s="13">
        <f>COUNTIFS('UDP Comparison'!$C$2:$C$1592,$A8,'UDP Comparison'!$F$2:$F$1592,"PASS")</f>
        <v/>
      </c>
      <c r="D8" s="13">
        <f>COUNTIFS('UDP Comparison'!$C$2:$C$1592,$A8,'UDP Comparison'!$F$2:$F$1592,"MISMATCH")</f>
        <v/>
      </c>
      <c r="E8" s="13">
        <f>COUNTIFS('UDP Comparison'!$C$2:$C$1592,$A8,'UDP Comparison'!$F$2:$F$1592,"MISSING")</f>
        <v/>
      </c>
      <c r="F8" s="13">
        <f>COUNTIFS('UDP Comparison'!$C$2:$C$1592,$A8,'UDP Comparison'!$F$2:$F$1592,"BLANK IN SAP")</f>
        <v/>
      </c>
      <c r="G8" s="13">
        <f>COUNTIFS('UDP Comparison'!$C$2:$C$1592,$A8,'UDP Comparison'!$F$2:$F$1592,"EXTRA IN ERWIN")</f>
        <v/>
      </c>
      <c r="H8" s="14">
        <f>IF(($C8+$D8+$E8)=0,0,$C8/($C8+$D8+$E8))</f>
        <v/>
      </c>
      <c r="I8" s="13">
        <f>IF(($C8+$D8+$E8)=0,"Nothing to migrate",IF($C8=($C8+$D8+$E8),"PASS",IF($C8=0,"FAIL - none matched","REVIEW REQUIRED")))</f>
        <v/>
      </c>
    </row>
    <row r="9">
      <c r="A9" s="13" t="inlineStr">
        <is>
          <t>EntityCategory</t>
        </is>
      </c>
      <c r="B9" s="13">
        <f>COUNTIF('UDP Comparison'!$C$2:$C$1592,$A9)</f>
        <v/>
      </c>
      <c r="C9" s="13">
        <f>COUNTIFS('UDP Comparison'!$C$2:$C$1592,$A9,'UDP Comparison'!$F$2:$F$1592,"PASS")</f>
        <v/>
      </c>
      <c r="D9" s="13">
        <f>COUNTIFS('UDP Comparison'!$C$2:$C$1592,$A9,'UDP Comparison'!$F$2:$F$1592,"MISMATCH")</f>
        <v/>
      </c>
      <c r="E9" s="13">
        <f>COUNTIFS('UDP Comparison'!$C$2:$C$1592,$A9,'UDP Comparison'!$F$2:$F$1592,"MISSING")</f>
        <v/>
      </c>
      <c r="F9" s="13">
        <f>COUNTIFS('UDP Comparison'!$C$2:$C$1592,$A9,'UDP Comparison'!$F$2:$F$1592,"BLANK IN SAP")</f>
        <v/>
      </c>
      <c r="G9" s="13">
        <f>COUNTIFS('UDP Comparison'!$C$2:$C$1592,$A9,'UDP Comparison'!$F$2:$F$1592,"EXTRA IN ERWIN")</f>
        <v/>
      </c>
      <c r="H9" s="14">
        <f>IF(($C9+$D9+$E9)=0,0,$C9/($C9+$D9+$E9))</f>
        <v/>
      </c>
      <c r="I9" s="13">
        <f>IF(($C9+$D9+$E9)=0,"Nothing to migrate",IF($C9=($C9+$D9+$E9),"PASS",IF($C9=0,"FAIL - none matched","REVIEW REQUIRED")))</f>
        <v/>
      </c>
    </row>
    <row r="10">
      <c r="A10" s="13" t="inlineStr">
        <is>
          <t>EntityPersonalData</t>
        </is>
      </c>
      <c r="B10" s="13">
        <f>COUNTIF('UDP Comparison'!$C$2:$C$1592,$A10)</f>
        <v/>
      </c>
      <c r="C10" s="13">
        <f>COUNTIFS('UDP Comparison'!$C$2:$C$1592,$A10,'UDP Comparison'!$F$2:$F$1592,"PASS")</f>
        <v/>
      </c>
      <c r="D10" s="13">
        <f>COUNTIFS('UDP Comparison'!$C$2:$C$1592,$A10,'UDP Comparison'!$F$2:$F$1592,"MISMATCH")</f>
        <v/>
      </c>
      <c r="E10" s="13">
        <f>COUNTIFS('UDP Comparison'!$C$2:$C$1592,$A10,'UDP Comparison'!$F$2:$F$1592,"MISSING")</f>
        <v/>
      </c>
      <c r="F10" s="13">
        <f>COUNTIFS('UDP Comparison'!$C$2:$C$1592,$A10,'UDP Comparison'!$F$2:$F$1592,"BLANK IN SAP")</f>
        <v/>
      </c>
      <c r="G10" s="13">
        <f>COUNTIFS('UDP Comparison'!$C$2:$C$1592,$A10,'UDP Comparison'!$F$2:$F$1592,"EXTRA IN ERWIN")</f>
        <v/>
      </c>
      <c r="H10" s="14">
        <f>IF(($C10+$D10+$E10)=0,0,$C10/($C10+$D10+$E10))</f>
        <v/>
      </c>
      <c r="I10" s="13">
        <f>IF(($C10+$D10+$E10)=0,"Nothing to migrate",IF($C10=($C10+$D10+$E10),"PASS",IF($C10=0,"FAIL - none matched","REVIEW REQUIRED")))</f>
        <v/>
      </c>
    </row>
    <row r="11">
      <c r="A11" s="13" t="inlineStr">
        <is>
          <t>FinancialPersonalData</t>
        </is>
      </c>
      <c r="B11" s="13">
        <f>COUNTIF('UDP Comparison'!$C$2:$C$1592,$A11)</f>
        <v/>
      </c>
      <c r="C11" s="13">
        <f>COUNTIFS('UDP Comparison'!$C$2:$C$1592,$A11,'UDP Comparison'!$F$2:$F$1592,"PASS")</f>
        <v/>
      </c>
      <c r="D11" s="13">
        <f>COUNTIFS('UDP Comparison'!$C$2:$C$1592,$A11,'UDP Comparison'!$F$2:$F$1592,"MISMATCH")</f>
        <v/>
      </c>
      <c r="E11" s="13">
        <f>COUNTIFS('UDP Comparison'!$C$2:$C$1592,$A11,'UDP Comparison'!$F$2:$F$1592,"MISSING")</f>
        <v/>
      </c>
      <c r="F11" s="13">
        <f>COUNTIFS('UDP Comparison'!$C$2:$C$1592,$A11,'UDP Comparison'!$F$2:$F$1592,"BLANK IN SAP")</f>
        <v/>
      </c>
      <c r="G11" s="13">
        <f>COUNTIFS('UDP Comparison'!$C$2:$C$1592,$A11,'UDP Comparison'!$F$2:$F$1592,"EXTRA IN ERWIN")</f>
        <v/>
      </c>
      <c r="H11" s="14">
        <f>IF(($C11+$D11+$E11)=0,0,$C11/($C11+$D11+$E11))</f>
        <v/>
      </c>
      <c r="I11" s="13">
        <f>IF(($C11+$D11+$E11)=0,"Nothing to migrate",IF($C11=($C11+$D11+$E11),"PASS",IF($C11=0,"FAIL - none matched","REVIEW REQUIRED")))</f>
        <v/>
      </c>
    </row>
    <row r="12">
      <c r="A12" s="13" t="inlineStr">
        <is>
          <t>MTED_EDaM_Design_Status</t>
        </is>
      </c>
      <c r="B12" s="13">
        <f>COUNTIF('UDP Comparison'!$C$2:$C$1592,$A12)</f>
        <v/>
      </c>
      <c r="C12" s="13">
        <f>COUNTIFS('UDP Comparison'!$C$2:$C$1592,$A12,'UDP Comparison'!$F$2:$F$1592,"PASS")</f>
        <v/>
      </c>
      <c r="D12" s="13">
        <f>COUNTIFS('UDP Comparison'!$C$2:$C$1592,$A12,'UDP Comparison'!$F$2:$F$1592,"MISMATCH")</f>
        <v/>
      </c>
      <c r="E12" s="13">
        <f>COUNTIFS('UDP Comparison'!$C$2:$C$1592,$A12,'UDP Comparison'!$F$2:$F$1592,"MISSING")</f>
        <v/>
      </c>
      <c r="F12" s="13">
        <f>COUNTIFS('UDP Comparison'!$C$2:$C$1592,$A12,'UDP Comparison'!$F$2:$F$1592,"BLANK IN SAP")</f>
        <v/>
      </c>
      <c r="G12" s="13">
        <f>COUNTIFS('UDP Comparison'!$C$2:$C$1592,$A12,'UDP Comparison'!$F$2:$F$1592,"EXTRA IN ERWIN")</f>
        <v/>
      </c>
      <c r="H12" s="14">
        <f>IF(($C12+$D12+$E12)=0,0,$C12/($C12+$D12+$E12))</f>
        <v/>
      </c>
      <c r="I12" s="13">
        <f>IF(($C12+$D12+$E12)=0,"Nothing to migrate",IF($C12=($C12+$D12+$E12),"PASS",IF($C12=0,"FAIL - none matched","REVIEW REQUIRED")))</f>
        <v/>
      </c>
    </row>
    <row r="13">
      <c r="A13" s="13" t="inlineStr">
        <is>
          <t>MTED_EDaM_Entity_Critical_Data</t>
        </is>
      </c>
      <c r="B13" s="13">
        <f>COUNTIF('UDP Comparison'!$C$2:$C$1592,$A13)</f>
        <v/>
      </c>
      <c r="C13" s="13">
        <f>COUNTIFS('UDP Comparison'!$C$2:$C$1592,$A13,'UDP Comparison'!$F$2:$F$1592,"PASS")</f>
        <v/>
      </c>
      <c r="D13" s="13">
        <f>COUNTIFS('UDP Comparison'!$C$2:$C$1592,$A13,'UDP Comparison'!$F$2:$F$1592,"MISMATCH")</f>
        <v/>
      </c>
      <c r="E13" s="13">
        <f>COUNTIFS('UDP Comparison'!$C$2:$C$1592,$A13,'UDP Comparison'!$F$2:$F$1592,"MISSING")</f>
        <v/>
      </c>
      <c r="F13" s="13">
        <f>COUNTIFS('UDP Comparison'!$C$2:$C$1592,$A13,'UDP Comparison'!$F$2:$F$1592,"BLANK IN SAP")</f>
        <v/>
      </c>
      <c r="G13" s="13">
        <f>COUNTIFS('UDP Comparison'!$C$2:$C$1592,$A13,'UDP Comparison'!$F$2:$F$1592,"EXTRA IN ERWIN")</f>
        <v/>
      </c>
      <c r="H13" s="14">
        <f>IF(($C13+$D13+$E13)=0,0,$C13/($C13+$D13+$E13))</f>
        <v/>
      </c>
      <c r="I13" s="13">
        <f>IF(($C13+$D13+$E13)=0,"Nothing to migrate",IF($C13=($C13+$D13+$E13),"PASS",IF($C13=0,"FAIL - none matched","REVIEW REQUIRED")))</f>
        <v/>
      </c>
    </row>
    <row r="14">
      <c r="A14" s="13" t="inlineStr">
        <is>
          <t>MTED_EDaM_Entity_Data_Category</t>
        </is>
      </c>
      <c r="B14" s="13">
        <f>COUNTIF('UDP Comparison'!$C$2:$C$1592,$A14)</f>
        <v/>
      </c>
      <c r="C14" s="13">
        <f>COUNTIFS('UDP Comparison'!$C$2:$C$1592,$A14,'UDP Comparison'!$F$2:$F$1592,"PASS")</f>
        <v/>
      </c>
      <c r="D14" s="13">
        <f>COUNTIFS('UDP Comparison'!$C$2:$C$1592,$A14,'UDP Comparison'!$F$2:$F$1592,"MISMATCH")</f>
        <v/>
      </c>
      <c r="E14" s="13">
        <f>COUNTIFS('UDP Comparison'!$C$2:$C$1592,$A14,'UDP Comparison'!$F$2:$F$1592,"MISSING")</f>
        <v/>
      </c>
      <c r="F14" s="13">
        <f>COUNTIFS('UDP Comparison'!$C$2:$C$1592,$A14,'UDP Comparison'!$F$2:$F$1592,"BLANK IN SAP")</f>
        <v/>
      </c>
      <c r="G14" s="13">
        <f>COUNTIFS('UDP Comparison'!$C$2:$C$1592,$A14,'UDP Comparison'!$F$2:$F$1592,"EXTRA IN ERWIN")</f>
        <v/>
      </c>
      <c r="H14" s="14">
        <f>IF(($C14+$D14+$E14)=0,0,$C14/($C14+$D14+$E14))</f>
        <v/>
      </c>
      <c r="I14" s="13">
        <f>IF(($C14+$D14+$E14)=0,"Nothing to migrate",IF($C14=($C14+$D14+$E14),"PASS",IF($C14=0,"FAIL - none matched","REVIEW REQUIRED")))</f>
        <v/>
      </c>
    </row>
    <row r="15">
      <c r="A15" s="13" t="inlineStr">
        <is>
          <t>MTED_EDaM_Mapping_Level</t>
        </is>
      </c>
      <c r="B15" s="13">
        <f>COUNTIF('UDP Comparison'!$C$2:$C$1592,$A15)</f>
        <v/>
      </c>
      <c r="C15" s="13">
        <f>COUNTIFS('UDP Comparison'!$C$2:$C$1592,$A15,'UDP Comparison'!$F$2:$F$1592,"PASS")</f>
        <v/>
      </c>
      <c r="D15" s="13">
        <f>COUNTIFS('UDP Comparison'!$C$2:$C$1592,$A15,'UDP Comparison'!$F$2:$F$1592,"MISMATCH")</f>
        <v/>
      </c>
      <c r="E15" s="13">
        <f>COUNTIFS('UDP Comparison'!$C$2:$C$1592,$A15,'UDP Comparison'!$F$2:$F$1592,"MISSING")</f>
        <v/>
      </c>
      <c r="F15" s="13">
        <f>COUNTIFS('UDP Comparison'!$C$2:$C$1592,$A15,'UDP Comparison'!$F$2:$F$1592,"BLANK IN SAP")</f>
        <v/>
      </c>
      <c r="G15" s="13">
        <f>COUNTIFS('UDP Comparison'!$C$2:$C$1592,$A15,'UDP Comparison'!$F$2:$F$1592,"EXTRA IN ERWIN")</f>
        <v/>
      </c>
      <c r="H15" s="14">
        <f>IF(($C15+$D15+$E15)=0,0,$C15/($C15+$D15+$E15))</f>
        <v/>
      </c>
      <c r="I15" s="13">
        <f>IF(($C15+$D15+$E15)=0,"Nothing to migrate",IF($C15=($C15+$D15+$E15),"PASS",IF($C15=0,"FAIL - none matched","REVIEW REQUIRED")))</f>
        <v/>
      </c>
    </row>
    <row r="16">
      <c r="A16" s="13" t="inlineStr">
        <is>
          <t>MTED_EDaM_Mapping_Note</t>
        </is>
      </c>
      <c r="B16" s="13">
        <f>COUNTIF('UDP Comparison'!$C$2:$C$1592,$A16)</f>
        <v/>
      </c>
      <c r="C16" s="13">
        <f>COUNTIFS('UDP Comparison'!$C$2:$C$1592,$A16,'UDP Comparison'!$F$2:$F$1592,"PASS")</f>
        <v/>
      </c>
      <c r="D16" s="13">
        <f>COUNTIFS('UDP Comparison'!$C$2:$C$1592,$A16,'UDP Comparison'!$F$2:$F$1592,"MISMATCH")</f>
        <v/>
      </c>
      <c r="E16" s="13">
        <f>COUNTIFS('UDP Comparison'!$C$2:$C$1592,$A16,'UDP Comparison'!$F$2:$F$1592,"MISSING")</f>
        <v/>
      </c>
      <c r="F16" s="13">
        <f>COUNTIFS('UDP Comparison'!$C$2:$C$1592,$A16,'UDP Comparison'!$F$2:$F$1592,"BLANK IN SAP")</f>
        <v/>
      </c>
      <c r="G16" s="13">
        <f>COUNTIFS('UDP Comparison'!$C$2:$C$1592,$A16,'UDP Comparison'!$F$2:$F$1592,"EXTRA IN ERWIN")</f>
        <v/>
      </c>
      <c r="H16" s="14">
        <f>IF(($C16+$D16+$E16)=0,0,$C16/($C16+$D16+$E16))</f>
        <v/>
      </c>
      <c r="I16" s="13">
        <f>IF(($C16+$D16+$E16)=0,"Nothing to migrate",IF($C16=($C16+$D16+$E16),"PASS",IF($C16=0,"FAIL - none matched","REVIEW REQUIRED")))</f>
        <v/>
      </c>
    </row>
    <row r="17">
      <c r="A17" s="13" t="inlineStr">
        <is>
          <t>MTED_EDaM_Security_Classification</t>
        </is>
      </c>
      <c r="B17" s="13">
        <f>COUNTIF('UDP Comparison'!$C$2:$C$1592,$A17)</f>
        <v/>
      </c>
      <c r="C17" s="13">
        <f>COUNTIFS('UDP Comparison'!$C$2:$C$1592,$A17,'UDP Comparison'!$F$2:$F$1592,"PASS")</f>
        <v/>
      </c>
      <c r="D17" s="13">
        <f>COUNTIFS('UDP Comparison'!$C$2:$C$1592,$A17,'UDP Comparison'!$F$2:$F$1592,"MISMATCH")</f>
        <v/>
      </c>
      <c r="E17" s="13">
        <f>COUNTIFS('UDP Comparison'!$C$2:$C$1592,$A17,'UDP Comparison'!$F$2:$F$1592,"MISSING")</f>
        <v/>
      </c>
      <c r="F17" s="13">
        <f>COUNTIFS('UDP Comparison'!$C$2:$C$1592,$A17,'UDP Comparison'!$F$2:$F$1592,"BLANK IN SAP")</f>
        <v/>
      </c>
      <c r="G17" s="13">
        <f>COUNTIFS('UDP Comparison'!$C$2:$C$1592,$A17,'UDP Comparison'!$F$2:$F$1592,"EXTRA IN ERWIN")</f>
        <v/>
      </c>
      <c r="H17" s="14">
        <f>IF(($C17+$D17+$E17)=0,0,$C17/($C17+$D17+$E17))</f>
        <v/>
      </c>
      <c r="I17" s="13">
        <f>IF(($C17+$D17+$E17)=0,"Nothing to migrate",IF($C17=($C17+$D17+$E17),"PASS",IF($C17=0,"FAIL - none matched","REVIEW REQUIRED")))</f>
        <v/>
      </c>
    </row>
    <row r="18">
      <c r="A18" s="13" t="inlineStr">
        <is>
          <t>MTED_Encryption_Required</t>
        </is>
      </c>
      <c r="B18" s="13">
        <f>COUNTIF('UDP Comparison'!$C$2:$C$1592,$A18)</f>
        <v/>
      </c>
      <c r="C18" s="13">
        <f>COUNTIFS('UDP Comparison'!$C$2:$C$1592,$A18,'UDP Comparison'!$F$2:$F$1592,"PASS")</f>
        <v/>
      </c>
      <c r="D18" s="13">
        <f>COUNTIFS('UDP Comparison'!$C$2:$C$1592,$A18,'UDP Comparison'!$F$2:$F$1592,"MISMATCH")</f>
        <v/>
      </c>
      <c r="E18" s="13">
        <f>COUNTIFS('UDP Comparison'!$C$2:$C$1592,$A18,'UDP Comparison'!$F$2:$F$1592,"MISSING")</f>
        <v/>
      </c>
      <c r="F18" s="13">
        <f>COUNTIFS('UDP Comparison'!$C$2:$C$1592,$A18,'UDP Comparison'!$F$2:$F$1592,"BLANK IN SAP")</f>
        <v/>
      </c>
      <c r="G18" s="13">
        <f>COUNTIFS('UDP Comparison'!$C$2:$C$1592,$A18,'UDP Comparison'!$F$2:$F$1592,"EXTRA IN ERWIN")</f>
        <v/>
      </c>
      <c r="H18" s="14">
        <f>IF(($C18+$D18+$E18)=0,0,$C18/($C18+$D18+$E18))</f>
        <v/>
      </c>
      <c r="I18" s="13">
        <f>IF(($C18+$D18+$E18)=0,"Nothing to migrate",IF($C18=($C18+$D18+$E18),"PASS",IF($C18=0,"FAIL - none matched","REVIEW REQUIRED")))</f>
        <v/>
      </c>
    </row>
    <row r="19">
      <c r="A19" s="13" t="inlineStr">
        <is>
          <t>MappingLevel</t>
        </is>
      </c>
      <c r="B19" s="13">
        <f>COUNTIF('UDP Comparison'!$C$2:$C$1592,$A19)</f>
        <v/>
      </c>
      <c r="C19" s="13">
        <f>COUNTIFS('UDP Comparison'!$C$2:$C$1592,$A19,'UDP Comparison'!$F$2:$F$1592,"PASS")</f>
        <v/>
      </c>
      <c r="D19" s="13">
        <f>COUNTIFS('UDP Comparison'!$C$2:$C$1592,$A19,'UDP Comparison'!$F$2:$F$1592,"MISMATCH")</f>
        <v/>
      </c>
      <c r="E19" s="13">
        <f>COUNTIFS('UDP Comparison'!$C$2:$C$1592,$A19,'UDP Comparison'!$F$2:$F$1592,"MISSING")</f>
        <v/>
      </c>
      <c r="F19" s="13">
        <f>COUNTIFS('UDP Comparison'!$C$2:$C$1592,$A19,'UDP Comparison'!$F$2:$F$1592,"BLANK IN SAP")</f>
        <v/>
      </c>
      <c r="G19" s="13">
        <f>COUNTIFS('UDP Comparison'!$C$2:$C$1592,$A19,'UDP Comparison'!$F$2:$F$1592,"EXTRA IN ERWIN")</f>
        <v/>
      </c>
      <c r="H19" s="14">
        <f>IF(($C19+$D19+$E19)=0,0,$C19/($C19+$D19+$E19))</f>
        <v/>
      </c>
      <c r="I19" s="13">
        <f>IF(($C19+$D19+$E19)=0,"Nothing to migrate",IF($C19=($C19+$D19+$E19),"PASS",IF($C19=0,"FAIL - none matched","REVIEW REQUIRED")))</f>
        <v/>
      </c>
    </row>
    <row r="20">
      <c r="A20" s="13" t="inlineStr">
        <is>
          <t>MapsToEntity</t>
        </is>
      </c>
      <c r="B20" s="13">
        <f>COUNTIF('UDP Comparison'!$C$2:$C$1592,$A20)</f>
        <v/>
      </c>
      <c r="C20" s="13">
        <f>COUNTIFS('UDP Comparison'!$C$2:$C$1592,$A20,'UDP Comparison'!$F$2:$F$1592,"PASS")</f>
        <v/>
      </c>
      <c r="D20" s="13">
        <f>COUNTIFS('UDP Comparison'!$C$2:$C$1592,$A20,'UDP Comparison'!$F$2:$F$1592,"MISMATCH")</f>
        <v/>
      </c>
      <c r="E20" s="13">
        <f>COUNTIFS('UDP Comparison'!$C$2:$C$1592,$A20,'UDP Comparison'!$F$2:$F$1592,"MISSING")</f>
        <v/>
      </c>
      <c r="F20" s="13">
        <f>COUNTIFS('UDP Comparison'!$C$2:$C$1592,$A20,'UDP Comparison'!$F$2:$F$1592,"BLANK IN SAP")</f>
        <v/>
      </c>
      <c r="G20" s="13">
        <f>COUNTIFS('UDP Comparison'!$C$2:$C$1592,$A20,'UDP Comparison'!$F$2:$F$1592,"EXTRA IN ERWIN")</f>
        <v/>
      </c>
      <c r="H20" s="14">
        <f>IF(($C20+$D20+$E20)=0,0,$C20/($C20+$D20+$E20))</f>
        <v/>
      </c>
      <c r="I20" s="13">
        <f>IF(($C20+$D20+$E20)=0,"Nothing to migrate",IF($C20=($C20+$D20+$E20),"PASS",IF($C20=0,"FAIL - none matched","REVIEW REQUIRED")))</f>
        <v/>
      </c>
    </row>
    <row r="21">
      <c r="A21" s="13" t="inlineStr">
        <is>
          <t>PD_ObjectID</t>
        </is>
      </c>
      <c r="B21" s="13">
        <f>COUNTIF('UDP Comparison'!$C$2:$C$1592,$A21)</f>
        <v/>
      </c>
      <c r="C21" s="13">
        <f>COUNTIFS('UDP Comparison'!$C$2:$C$1592,$A21,'UDP Comparison'!$F$2:$F$1592,"PASS")</f>
        <v/>
      </c>
      <c r="D21" s="13">
        <f>COUNTIFS('UDP Comparison'!$C$2:$C$1592,$A21,'UDP Comparison'!$F$2:$F$1592,"MISMATCH")</f>
        <v/>
      </c>
      <c r="E21" s="13">
        <f>COUNTIFS('UDP Comparison'!$C$2:$C$1592,$A21,'UDP Comparison'!$F$2:$F$1592,"MISSING")</f>
        <v/>
      </c>
      <c r="F21" s="13">
        <f>COUNTIFS('UDP Comparison'!$C$2:$C$1592,$A21,'UDP Comparison'!$F$2:$F$1592,"BLANK IN SAP")</f>
        <v/>
      </c>
      <c r="G21" s="13">
        <f>COUNTIFS('UDP Comparison'!$C$2:$C$1592,$A21,'UDP Comparison'!$F$2:$F$1592,"EXTRA IN ERWIN")</f>
        <v/>
      </c>
      <c r="H21" s="14">
        <f>IF(($C21+$D21+$E21)=0,0,$C21/($C21+$D21+$E21))</f>
        <v/>
      </c>
      <c r="I21" s="13">
        <f>IF(($C21+$D21+$E21)=0,"Nothing to migrate",IF($C21=($C21+$D21+$E21),"PASS",IF($C21=0,"FAIL - none matched","REVIEW REQUIRED")))</f>
        <v/>
      </c>
    </row>
    <row r="22">
      <c r="A22" s="13" t="inlineStr">
        <is>
          <t>PD_SourceExtraction</t>
        </is>
      </c>
      <c r="B22" s="13">
        <f>COUNTIF('UDP Comparison'!$C$2:$C$1592,$A22)</f>
        <v/>
      </c>
      <c r="C22" s="13">
        <f>COUNTIFS('UDP Comparison'!$C$2:$C$1592,$A22,'UDP Comparison'!$F$2:$F$1592,"PASS")</f>
        <v/>
      </c>
      <c r="D22" s="13">
        <f>COUNTIFS('UDP Comparison'!$C$2:$C$1592,$A22,'UDP Comparison'!$F$2:$F$1592,"MISMATCH")</f>
        <v/>
      </c>
      <c r="E22" s="13">
        <f>COUNTIFS('UDP Comparison'!$C$2:$C$1592,$A22,'UDP Comparison'!$F$2:$F$1592,"MISSING")</f>
        <v/>
      </c>
      <c r="F22" s="13">
        <f>COUNTIFS('UDP Comparison'!$C$2:$C$1592,$A22,'UDP Comparison'!$F$2:$F$1592,"BLANK IN SAP")</f>
        <v/>
      </c>
      <c r="G22" s="13">
        <f>COUNTIFS('UDP Comparison'!$C$2:$C$1592,$A22,'UDP Comparison'!$F$2:$F$1592,"EXTRA IN ERWIN")</f>
        <v/>
      </c>
      <c r="H22" s="14">
        <f>IF(($C22+$D22+$E22)=0,0,$C22/($C22+$D22+$E22))</f>
        <v/>
      </c>
      <c r="I22" s="13">
        <f>IF(($C22+$D22+$E22)=0,"Nothing to migrate",IF($C22=($C22+$D22+$E22),"PASS",IF($C22=0,"FAIL - none matched","REVIEW REQUIRED")))</f>
        <v/>
      </c>
    </row>
    <row r="23">
      <c r="A23" s="13" t="inlineStr">
        <is>
          <t>PD_SourceModel</t>
        </is>
      </c>
      <c r="B23" s="13">
        <f>COUNTIF('UDP Comparison'!$C$2:$C$1592,$A23)</f>
        <v/>
      </c>
      <c r="C23" s="13">
        <f>COUNTIFS('UDP Comparison'!$C$2:$C$1592,$A23,'UDP Comparison'!$F$2:$F$1592,"PASS")</f>
        <v/>
      </c>
      <c r="D23" s="13">
        <f>COUNTIFS('UDP Comparison'!$C$2:$C$1592,$A23,'UDP Comparison'!$F$2:$F$1592,"MISMATCH")</f>
        <v/>
      </c>
      <c r="E23" s="13">
        <f>COUNTIFS('UDP Comparison'!$C$2:$C$1592,$A23,'UDP Comparison'!$F$2:$F$1592,"MISSING")</f>
        <v/>
      </c>
      <c r="F23" s="13">
        <f>COUNTIFS('UDP Comparison'!$C$2:$C$1592,$A23,'UDP Comparison'!$F$2:$F$1592,"BLANK IN SAP")</f>
        <v/>
      </c>
      <c r="G23" s="13">
        <f>COUNTIFS('UDP Comparison'!$C$2:$C$1592,$A23,'UDP Comparison'!$F$2:$F$1592,"EXTRA IN ERWIN")</f>
        <v/>
      </c>
      <c r="H23" s="14">
        <f>IF(($C23+$D23+$E23)=0,0,$C23/($C23+$D23+$E23))</f>
        <v/>
      </c>
      <c r="I23" s="13">
        <f>IF(($C23+$D23+$E23)=0,"Nothing to migrate",IF($C23=($C23+$D23+$E23),"PASS",IF($C23=0,"FAIL - none matched","REVIEW REQUIRED")))</f>
        <v/>
      </c>
    </row>
    <row r="24">
      <c r="A24" s="13" t="inlineStr">
        <is>
          <t>PII</t>
        </is>
      </c>
      <c r="B24" s="13">
        <f>COUNTIF('UDP Comparison'!$C$2:$C$1592,$A24)</f>
        <v/>
      </c>
      <c r="C24" s="13">
        <f>COUNTIFS('UDP Comparison'!$C$2:$C$1592,$A24,'UDP Comparison'!$F$2:$F$1592,"PASS")</f>
        <v/>
      </c>
      <c r="D24" s="13">
        <f>COUNTIFS('UDP Comparison'!$C$2:$C$1592,$A24,'UDP Comparison'!$F$2:$F$1592,"MISMATCH")</f>
        <v/>
      </c>
      <c r="E24" s="13">
        <f>COUNTIFS('UDP Comparison'!$C$2:$C$1592,$A24,'UDP Comparison'!$F$2:$F$1592,"MISSING")</f>
        <v/>
      </c>
      <c r="F24" s="13">
        <f>COUNTIFS('UDP Comparison'!$C$2:$C$1592,$A24,'UDP Comparison'!$F$2:$F$1592,"BLANK IN SAP")</f>
        <v/>
      </c>
      <c r="G24" s="13">
        <f>COUNTIFS('UDP Comparison'!$C$2:$C$1592,$A24,'UDP Comparison'!$F$2:$F$1592,"EXTRA IN ERWIN")</f>
        <v/>
      </c>
      <c r="H24" s="14">
        <f>IF(($C24+$D24+$E24)=0,0,$C24/($C24+$D24+$E24))</f>
        <v/>
      </c>
      <c r="I24" s="13">
        <f>IF(($C24+$D24+$E24)=0,"Nothing to migrate",IF($C24=($C24+$D24+$E24),"PASS",IF($C24=0,"FAIL - none matched","REVIEW REQUIRED")))</f>
        <v/>
      </c>
    </row>
    <row r="25">
      <c r="A25" s="13" t="inlineStr">
        <is>
          <t>SensitivePersonalData</t>
        </is>
      </c>
      <c r="B25" s="13">
        <f>COUNTIF('UDP Comparison'!$C$2:$C$1592,$A25)</f>
        <v/>
      </c>
      <c r="C25" s="13">
        <f>COUNTIFS('UDP Comparison'!$C$2:$C$1592,$A25,'UDP Comparison'!$F$2:$F$1592,"PASS")</f>
        <v/>
      </c>
      <c r="D25" s="13">
        <f>COUNTIFS('UDP Comparison'!$C$2:$C$1592,$A25,'UDP Comparison'!$F$2:$F$1592,"MISMATCH")</f>
        <v/>
      </c>
      <c r="E25" s="13">
        <f>COUNTIFS('UDP Comparison'!$C$2:$C$1592,$A25,'UDP Comparison'!$F$2:$F$1592,"MISSING")</f>
        <v/>
      </c>
      <c r="F25" s="13">
        <f>COUNTIFS('UDP Comparison'!$C$2:$C$1592,$A25,'UDP Comparison'!$F$2:$F$1592,"BLANK IN SAP")</f>
        <v/>
      </c>
      <c r="G25" s="13">
        <f>COUNTIFS('UDP Comparison'!$C$2:$C$1592,$A25,'UDP Comparison'!$F$2:$F$1592,"EXTRA IN ERWIN")</f>
        <v/>
      </c>
      <c r="H25" s="14">
        <f>IF(($C25+$D25+$E25)=0,0,$C25/($C25+$D25+$E25))</f>
        <v/>
      </c>
      <c r="I25" s="13">
        <f>IF(($C25+$D25+$E25)=0,"Nothing to migrate",IF($C25=($C25+$D25+$E25),"PASS",IF($C25=0,"FAIL - none matched","REVIEW REQUIRED")))</f>
        <v/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6" customWidth="1" min="3" max="3"/>
  </cols>
  <sheetData>
    <row r="1">
      <c r="A1" s="1" t="inlineStr">
        <is>
          <t>Diagnostics - how erwin was read, and whether to trust it</t>
        </is>
      </c>
    </row>
    <row r="2">
      <c r="A2" s="4" t="inlineStr">
        <is>
          <t>erwin model read</t>
        </is>
      </c>
      <c r="B2" s="15" t="inlineStr">
        <is>
          <t>erwinmodels\2_preprocessed\erwin\05_Carbon_Calculator.erwin</t>
        </is>
      </c>
      <c r="C2" s="6" t="inlineStr"/>
    </row>
    <row r="3">
      <c r="A3" s="4" t="inlineStr">
        <is>
          <t>Readback method</t>
        </is>
      </c>
      <c r="B3" s="15" t="inlineStr">
        <is>
          <t>com</t>
        </is>
      </c>
      <c r="C3" s="6" t="inlineStr">
        <is>
          <t>'com' asks erwin directly and is authoritative. 'binary' decodes the .erwin file offline - independent of the API that wrote the data, but reverse-engineered, so it is a cross-check.</t>
        </is>
      </c>
    </row>
    <row r="4">
      <c r="A4" s="4" t="inlineStr">
        <is>
          <t>Readback trustworthy</t>
        </is>
      </c>
      <c r="B4" s="15" t="inlineStr">
        <is>
          <t>Yes</t>
        </is>
      </c>
      <c r="C4" s="6" t="inlineStr">
        <is>
          <t>When No, the comparison is not reported as mismatches - the reading itself is in doubt.</t>
        </is>
      </c>
    </row>
    <row r="5">
      <c r="A5" s="4" t="inlineStr">
        <is>
          <t>Objects read from erwin</t>
        </is>
      </c>
      <c r="B5" s="15" t="n">
        <v>101</v>
      </c>
      <c r="C5" s="6" t="inlineStr"/>
    </row>
    <row r="6">
      <c r="A6" s="4" t="inlineStr">
        <is>
          <t>UDP values read from erwin</t>
        </is>
      </c>
      <c r="B6" s="15" t="n">
        <v>1531</v>
      </c>
      <c r="C6" s="6" t="inlineStr"/>
    </row>
    <row r="8">
      <c r="A8" s="16" t="inlineStr">
        <is>
          <t>Readback notes</t>
        </is>
      </c>
      <c r="B8" s="17" t="inlineStr"/>
      <c r="C8" s="17" t="inlineStr"/>
    </row>
    <row r="9">
      <c r="A9" s="4" t="inlineStr">
        <is>
          <t>-</t>
        </is>
      </c>
      <c r="B9" s="6" t="inlineStr">
        <is>
          <t>Read 1531 UDP value(s) from erwin via SCAPI.</t>
        </is>
      </c>
    </row>
    <row r="11">
      <c r="A11" s="16" t="inlineStr">
        <is>
          <t>Source data warnings</t>
        </is>
      </c>
      <c r="B11" s="17" t="inlineStr"/>
      <c r="C11" s="17" t="inlineStr"/>
    </row>
    <row r="12">
      <c r="A12" s="4" t="inlineStr">
        <is>
          <t>-</t>
        </is>
      </c>
      <c r="B12" s="6" t="inlineStr">
        <is>
          <t>None.</t>
        </is>
      </c>
    </row>
  </sheetData>
  <mergeCells count="3">
    <mergeCell ref="A1:C1"/>
    <mergeCell ref="B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2026-09-05T15:47:08Z</dcterms:created>
  <dcterms:modified xmlns:dcterms="http://purl.org/dc/terms/" xmlns:xsi="http://www.w3.org/2001/XMLSchema-instance" xsi:type="dcterms:W3CDTF">2026-09-05T15:47:09Z</dcterms:modified>
</cp:coreProperties>
</file>