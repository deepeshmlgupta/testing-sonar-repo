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2026-09-03 10:50:47</t>
        </is>
      </c>
      <c r="C4" s="6" t="inlineStr"/>
    </row>
    <row r="5">
      <c r="A5" s="4" t="inlineStr">
        <is>
          <t>Model name</t>
        </is>
      </c>
      <c r="B5" s="5" t="inlineStr">
        <is>
          <t>05_Carbon_Calculator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c:\Users\SrinivasaPesala\Desktop\migration-platform_v004\app\udp_tool\input_sap_models\05_Carbon_Calculator.pdm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c:\Users\SrinivasaPesala\Desktop\migration-platform_v004\app\udp_tool\output_erwin_models\05_Carbon_Calculator.erwin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n"/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B1 - Very Simple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85% to 95%</t>
        </is>
      </c>
      <c r="C15" s="6" t="inlineStr"/>
    </row>
    <row r="16">
      <c r="A16" s="4" t="inlineStr">
        <is>
          <t>Entities in source model</t>
        </is>
      </c>
      <c r="B16" s="5" t="n">
        <v>101</v>
      </c>
      <c r="C16" s="6" t="inlineStr"/>
    </row>
    <row r="17">
      <c r="A17" s="4" t="inlineStr">
        <is>
          <t>Attributes in source model</t>
        </is>
      </c>
      <c r="B17" s="5" t="n">
        <v>473</v>
      </c>
      <c r="C17" s="6" t="inlineStr"/>
    </row>
    <row r="18">
      <c r="A18" s="4" t="inlineStr">
        <is>
          <t>Extension properties found</t>
        </is>
      </c>
      <c r="B18" s="5" t="n">
        <v>26</v>
      </c>
      <c r="C18" s="6" t="inlineStr"/>
    </row>
    <row r="19">
      <c r="A19" s="4" t="inlineStr">
        <is>
          <t>Extension values found</t>
        </is>
      </c>
      <c r="B19" s="5" t="n">
        <v>1309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102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Reconciliation'!$E$2:$E$1592)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DesignStatus</t>
        </is>
      </c>
      <c r="B5" s="6" t="inlineStr">
        <is>
          <t>List</t>
        </is>
      </c>
      <c r="C5" s="6" t="inlineStr"/>
      <c r="D5" s="6" t="inlineStr">
        <is>
          <t>Approved</t>
        </is>
      </c>
      <c r="E5" s="6" t="inlineStr">
        <is>
          <t>BIM-core.DesignStatus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DataCategory</t>
        </is>
      </c>
      <c r="B6" s="6" t="inlineStr">
        <is>
          <t>List</t>
        </is>
      </c>
      <c r="C6" s="6" t="inlineStr"/>
      <c r="D6" s="6" t="inlineStr">
        <is>
          <t>Structured</t>
        </is>
      </c>
      <c r="E6" s="6" t="inlineStr">
        <is>
          <t>BIM-core.DataCategory</t>
        </is>
      </c>
      <c r="F6" s="6" t="inlineStr">
        <is>
          <t>100%</t>
        </is>
      </c>
      <c r="G6" s="6" t="n">
        <v>1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EntityCategory</t>
        </is>
      </c>
      <c r="B7" s="6" t="inlineStr">
        <is>
          <t>List</t>
        </is>
      </c>
      <c r="C7" s="6" t="inlineStr"/>
      <c r="D7" s="6" t="inlineStr">
        <is>
          <t>External Reference | Internal Reference | Intersection | Master | Transaction</t>
        </is>
      </c>
      <c r="E7" s="6" t="inlineStr">
        <is>
          <t>BIM-core.EntityCategory</t>
        </is>
      </c>
      <c r="F7" s="6" t="inlineStr">
        <is>
          <t>100%</t>
        </is>
      </c>
      <c r="G7" s="6" t="n">
        <v>5</v>
      </c>
      <c r="H7" s="6" t="inlineStr">
        <is>
          <t>OBSERVED - confirm against BIM-core.xem</t>
        </is>
      </c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 as List - observed values only, confirm against BIM-core.xem</t>
        </is>
      </c>
    </row>
    <row r="8">
      <c r="A8" s="6" t="inlineStr">
        <is>
          <t>Criticality</t>
        </is>
      </c>
      <c r="B8" s="6" t="inlineStr">
        <is>
          <t>List</t>
        </is>
      </c>
      <c r="C8" s="6" t="inlineStr"/>
      <c r="D8" s="6" t="inlineStr">
        <is>
          <t>No Critical Data</t>
        </is>
      </c>
      <c r="E8" s="6" t="inlineStr">
        <is>
          <t>BIM-core.Criticality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CommerciallySensitiveInformation</t>
        </is>
      </c>
      <c r="B9" s="6" t="inlineStr">
        <is>
          <t>List</t>
        </is>
      </c>
      <c r="C9" s="6" t="inlineStr"/>
      <c r="D9" s="6" t="inlineStr">
        <is>
          <t>No Commercially Sensitive Information</t>
        </is>
      </c>
      <c r="E9" s="6" t="inlineStr">
        <is>
          <t>BIM-core.CommerciallySensitiveInformation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DataConfidentiality</t>
        </is>
      </c>
      <c r="B10" s="6" t="inlineStr">
        <is>
          <t>List</t>
        </is>
      </c>
      <c r="C10" s="6" t="inlineStr"/>
      <c r="D10" s="6" t="inlineStr">
        <is>
          <t>Confidential | Internal</t>
        </is>
      </c>
      <c r="E10" s="6" t="inlineStr">
        <is>
          <t>BIM-core.DataConfidentiality</t>
        </is>
      </c>
      <c r="F10" s="6" t="inlineStr">
        <is>
          <t>100%</t>
        </is>
      </c>
      <c r="G10" s="6" t="n">
        <v>2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as List - observed values only, confirm against BIM-core.xem</t>
        </is>
      </c>
    </row>
    <row r="11">
      <c r="A11" s="6" t="inlineStr">
        <is>
          <t>EntityPersonalData</t>
        </is>
      </c>
      <c r="B11" s="6" t="inlineStr">
        <is>
          <t>List</t>
        </is>
      </c>
      <c r="C11" s="6" t="inlineStr"/>
      <c r="D11" s="6" t="inlineStr">
        <is>
          <t>No Personal Data | Personal Data</t>
        </is>
      </c>
      <c r="E11" s="6" t="inlineStr">
        <is>
          <t>BIM-core.EntityPersonalData</t>
        </is>
      </c>
      <c r="F11" s="6" t="inlineStr">
        <is>
          <t>100%</t>
        </is>
      </c>
      <c r="G11" s="6" t="n">
        <v>2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as List - observed values only, confirm against BIM-core.xem</t>
        </is>
      </c>
    </row>
    <row r="12">
      <c r="A12" s="6" t="inlineStr">
        <is>
          <t>FinancialPersonalData</t>
        </is>
      </c>
      <c r="B12" s="6" t="inlineStr">
        <is>
          <t>List</t>
        </is>
      </c>
      <c r="C12" s="6" t="inlineStr"/>
      <c r="D12" s="6" t="inlineStr">
        <is>
          <t>No Financial Personal Data</t>
        </is>
      </c>
      <c r="E12" s="6" t="inlineStr">
        <is>
          <t>BIM-core.FinancialPersonalData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as List - observed values only, confirm against BIM-core.xem</t>
        </is>
      </c>
    </row>
    <row r="13">
      <c r="A13" s="6" t="inlineStr">
        <is>
          <t>SensitivePersonalData</t>
        </is>
      </c>
      <c r="B13" s="6" t="inlineStr">
        <is>
          <t>List</t>
        </is>
      </c>
      <c r="C13" s="6" t="inlineStr"/>
      <c r="D13" s="6" t="inlineStr">
        <is>
          <t>No Sensitive Personal Data</t>
        </is>
      </c>
      <c r="E13" s="6" t="inlineStr">
        <is>
          <t>BIM-core.SensitivePersonalData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as List - observed values only, confirm against BIM-core.xem</t>
        </is>
      </c>
    </row>
    <row r="14">
      <c r="A14" s="6" t="inlineStr">
        <is>
          <t>MTED_EDaM_Mapping_Note</t>
        </is>
      </c>
      <c r="B14" s="6" t="inlineStr">
        <is>
          <t>List</t>
        </is>
      </c>
      <c r="C14" s="6" t="inlineStr"/>
      <c r="D14" s="6" t="inlineStr">
        <is>
          <t>{\rtf1\ansi\ansicpg1252\deff0\nouicompat\deflang2057{\fonttbl{\f0\fnil\fcharset0 Times New Roman;}}</t>
        </is>
      </c>
      <c r="E14" s="6" t="inlineStr">
        <is>
          <t>BIM-core.MTED_EDaM_Mapping_Note</t>
        </is>
      </c>
      <c r="F14" s="6" t="inlineStr">
        <is>
          <t>100%</t>
        </is>
      </c>
      <c r="G14" s="6" t="n">
        <v>1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as List - observed values only, confirm against BIM-core.xem</t>
        </is>
      </c>
    </row>
    <row r="15">
      <c r="A15" s="6" t="inlineStr">
        <is>
          <t>MappingLevel</t>
        </is>
      </c>
      <c r="B15" s="6" t="inlineStr">
        <is>
          <t>List</t>
        </is>
      </c>
      <c r="C15" s="6" t="inlineStr"/>
      <c r="D15" s="6" t="inlineStr">
        <is>
          <t>Application Specific | BLM</t>
        </is>
      </c>
      <c r="E15" s="6" t="inlineStr">
        <is>
          <t>BIM-core.MappingLevel</t>
        </is>
      </c>
      <c r="F15" s="6" t="inlineStr">
        <is>
          <t>100%</t>
        </is>
      </c>
      <c r="G15" s="6" t="n">
        <v>2</v>
      </c>
      <c r="H15" s="6" t="inlineStr">
        <is>
          <t>OBSERVED - confirm against BIM-core.xem</t>
        </is>
      </c>
      <c r="I15" s="6" t="inlineStr">
        <is>
          <t>Entity, Model</t>
        </is>
      </c>
      <c r="J15" s="6" t="inlineStr">
        <is>
          <t>Created (Entity); Created (Model)</t>
        </is>
      </c>
      <c r="K15" s="6">
        <f>COUNTIF('Value Reconciliation'!$C:$C,$A15)</f>
        <v/>
      </c>
      <c r="L15" s="6">
        <f>COUNTIFS('Value Reconciliation'!$C:$C,$A15,'Value Reconciliation'!$H:$H,"Applied*")</f>
        <v/>
      </c>
      <c r="M15" s="6">
        <f>COUNTIFS('Value Reconciliation'!$C:$C,$A15,'Value Reconciliation'!$I:$I,"Match")</f>
        <v/>
      </c>
      <c r="N15" s="6" t="inlineStr">
        <is>
          <t>Defined as List - observed values only, confirm against BIM-core.xem</t>
        </is>
      </c>
    </row>
    <row r="16">
      <c r="A16" s="6" t="inlineStr">
        <is>
          <t>CSI</t>
        </is>
      </c>
      <c r="B16" s="6" t="inlineStr">
        <is>
          <t>List</t>
        </is>
      </c>
      <c r="C16" s="6" t="inlineStr"/>
      <c r="D16" s="6" t="inlineStr">
        <is>
          <t>true | false</t>
        </is>
      </c>
      <c r="E16" s="6" t="inlineStr">
        <is>
          <t>SHL_LDM_EntityPropertyExtension.CSI</t>
        </is>
      </c>
      <c r="F16" s="6" t="inlineStr">
        <is>
          <t>100%</t>
        </is>
      </c>
      <c r="G16" s="6" t="n">
        <v>1</v>
      </c>
      <c r="H16" s="6" t="inlineStr">
        <is>
          <t>OBSERVED - confirm against BIM-core.xem</t>
        </is>
      </c>
      <c r="I16" s="6" t="inlineStr">
        <is>
          <t>Entity, Model</t>
        </is>
      </c>
      <c r="J16" s="6" t="inlineStr">
        <is>
          <t>Created (Entity); Created (Model)</t>
        </is>
      </c>
      <c r="K16" s="6">
        <f>COUNTIF('Value Reconciliation'!$C:$C,$A16)</f>
        <v/>
      </c>
      <c r="L16" s="6">
        <f>COUNTIFS('Value Reconciliation'!$C:$C,$A16,'Value Reconciliation'!$H:$H,"Applied*")</f>
        <v/>
      </c>
      <c r="M16" s="6">
        <f>COUNTIFS('Value Reconciliation'!$C:$C,$A16,'Value Reconciliation'!$I:$I,"Match")</f>
        <v/>
      </c>
      <c r="N16" s="6" t="inlineStr">
        <is>
          <t>Defined as List - observed values only, confirm against BIM-core.xem</t>
        </is>
      </c>
    </row>
    <row r="17">
      <c r="A17" s="6" t="inlineStr">
        <is>
          <t>MTED_Encryption_Required</t>
        </is>
      </c>
      <c r="B17" s="6" t="inlineStr">
        <is>
          <t>List</t>
        </is>
      </c>
      <c r="C17" s="6" t="inlineStr"/>
      <c r="D17" s="6" t="inlineStr">
        <is>
          <t>true | false</t>
        </is>
      </c>
      <c r="E17" s="6" t="inlineStr">
        <is>
          <t>SHL_LDM_EntityPropertyExtension.MTED_Encryption_Required</t>
        </is>
      </c>
      <c r="F17" s="6" t="inlineStr">
        <is>
          <t>100%</t>
        </is>
      </c>
      <c r="G17" s="6" t="n">
        <v>1</v>
      </c>
      <c r="H17" s="6" t="inlineStr">
        <is>
          <t>OBSERVED - confirm against BIM-core.xem</t>
        </is>
      </c>
      <c r="I17" s="6" t="inlineStr">
        <is>
          <t>Entity, Model</t>
        </is>
      </c>
      <c r="J17" s="6" t="inlineStr">
        <is>
          <t>Created (Entity); Created (Model)</t>
        </is>
      </c>
      <c r="K17" s="6">
        <f>COUNTIF('Value Reconciliation'!$C:$C,$A17)</f>
        <v/>
      </c>
      <c r="L17" s="6">
        <f>COUNTIFS('Value Reconciliation'!$C:$C,$A17,'Value Reconciliation'!$H:$H,"Applied*")</f>
        <v/>
      </c>
      <c r="M17" s="6">
        <f>COUNTIFS('Value Reconciliation'!$C:$C,$A17,'Value Reconciliation'!$I:$I,"Match")</f>
        <v/>
      </c>
      <c r="N17" s="6" t="inlineStr">
        <is>
          <t>Defined as List - observed values only, confirm against BIM-core.xem</t>
        </is>
      </c>
    </row>
    <row r="18">
      <c r="A18" s="6" t="inlineStr">
        <is>
          <t>PII</t>
        </is>
      </c>
      <c r="B18" s="6" t="inlineStr">
        <is>
          <t>List</t>
        </is>
      </c>
      <c r="C18" s="6" t="inlineStr"/>
      <c r="D18" s="6" t="inlineStr">
        <is>
          <t>true | false</t>
        </is>
      </c>
      <c r="E18" s="6" t="inlineStr">
        <is>
          <t>SHL_LDM_EntityPropertyExtension.PII</t>
        </is>
      </c>
      <c r="F18" s="6" t="inlineStr">
        <is>
          <t>100%</t>
        </is>
      </c>
      <c r="G18" s="6" t="n">
        <v>1</v>
      </c>
      <c r="H18" s="6" t="inlineStr">
        <is>
          <t>OBSERVED - confirm against BIM-core.xem</t>
        </is>
      </c>
      <c r="I18" s="6" t="inlineStr">
        <is>
          <t>Entity, Model</t>
        </is>
      </c>
      <c r="J18" s="6" t="inlineStr">
        <is>
          <t>Created (Entity); Created (Model)</t>
        </is>
      </c>
      <c r="K18" s="6">
        <f>COUNTIF('Value Reconciliation'!$C:$C,$A18)</f>
        <v/>
      </c>
      <c r="L18" s="6">
        <f>COUNTIFS('Value Reconciliation'!$C:$C,$A18,'Value Reconciliation'!$H:$H,"Applied*")</f>
        <v/>
      </c>
      <c r="M18" s="6">
        <f>COUNTIFS('Value Reconciliation'!$C:$C,$A18,'Value Reconciliation'!$I:$I,"Match")</f>
        <v/>
      </c>
      <c r="N18" s="6" t="inlineStr">
        <is>
          <t>Defined as List - observed values only, confirm against BIM-core.xem</t>
        </is>
      </c>
    </row>
    <row r="19">
      <c r="A19" s="6" t="inlineStr">
        <is>
          <t>MapsToEntity</t>
        </is>
      </c>
      <c r="B19" s="6" t="inlineStr">
        <is>
          <t>Text</t>
        </is>
      </c>
      <c r="C19" s="6" t="n">
        <v>78</v>
      </c>
      <c r="D19" s="6" t="inlineStr"/>
      <c r="E19" s="6" t="inlineStr">
        <is>
          <t>BIM-core.MapsToEntity</t>
        </is>
      </c>
      <c r="F19" s="6" t="inlineStr">
        <is>
          <t>100%</t>
        </is>
      </c>
      <c r="G19" s="6" t="n">
        <v>37</v>
      </c>
      <c r="H19" s="6" t="inlineStr"/>
      <c r="I19" s="6" t="inlineStr">
        <is>
          <t>Entity, Model</t>
        </is>
      </c>
      <c r="J19" s="6" t="inlineStr">
        <is>
          <t>Created (Entity); Created (Model)</t>
        </is>
      </c>
      <c r="K19" s="6">
        <f>COUNTIF('Value Reconciliation'!$C:$C,$A19)</f>
        <v/>
      </c>
      <c r="L19" s="6">
        <f>COUNTIFS('Value Reconciliation'!$C:$C,$A19,'Value Reconciliation'!$H:$H,"Applied*")</f>
        <v/>
      </c>
      <c r="M19" s="6">
        <f>COUNTIFS('Value Reconciliation'!$C:$C,$A19,'Value Reconciliation'!$I:$I,"Match")</f>
        <v/>
      </c>
      <c r="N19" s="6" t="inlineStr">
        <is>
          <t>Defined</t>
        </is>
      </c>
    </row>
    <row r="20">
      <c r="A20" s="6" t="inlineStr">
        <is>
          <t>DataArea</t>
        </is>
      </c>
      <c r="B20" s="6" t="inlineStr">
        <is>
          <t>List</t>
        </is>
      </c>
      <c r="C20" s="6" t="inlineStr"/>
      <c r="D20" s="6" t="inlineStr">
        <is>
          <t>Carbon Intensity | Core HR | Emission | Equipment | Unit Of Measure</t>
        </is>
      </c>
      <c r="E20" s="6" t="inlineStr">
        <is>
          <t>BIM-core.DataArea</t>
        </is>
      </c>
      <c r="F20" s="6" t="inlineStr">
        <is>
          <t>100%</t>
        </is>
      </c>
      <c r="G20" s="6" t="n">
        <v>6</v>
      </c>
      <c r="H20" s="6" t="inlineStr">
        <is>
          <t>OBSERVED - confirm against BIM-core.xem</t>
        </is>
      </c>
      <c r="I20" s="6" t="inlineStr">
        <is>
          <t>Entity, Model</t>
        </is>
      </c>
      <c r="J20" s="6" t="inlineStr">
        <is>
          <t>Created (Entity); Created (Model)</t>
        </is>
      </c>
      <c r="K20" s="6">
        <f>COUNTIF('Value Reconciliation'!$C:$C,$A20)</f>
        <v/>
      </c>
      <c r="L20" s="6">
        <f>COUNTIFS('Value Reconciliation'!$C:$C,$A20,'Value Reconciliation'!$H:$H,"Applied*")</f>
        <v/>
      </c>
      <c r="M20" s="6">
        <f>COUNTIFS('Value Reconciliation'!$C:$C,$A20,'Value Reconciliation'!$I:$I,"Match")</f>
        <v/>
      </c>
      <c r="N20" s="6" t="inlineStr">
        <is>
          <t>Defined as List - observed values only, confirm against BIM-core.xem</t>
        </is>
      </c>
    </row>
    <row r="21">
      <c r="A21" s="6" t="inlineStr">
        <is>
          <t>BIM_core_CSI</t>
        </is>
      </c>
      <c r="B21" s="6" t="inlineStr">
        <is>
          <t>List</t>
        </is>
      </c>
      <c r="C21" s="6" t="inlineStr"/>
      <c r="D21" s="6" t="inlineStr">
        <is>
          <t>true | false</t>
        </is>
      </c>
      <c r="E21" s="6" t="inlineStr">
        <is>
          <t>BIM-core.CSI</t>
        </is>
      </c>
      <c r="F21" s="6" t="inlineStr">
        <is>
          <t>100%</t>
        </is>
      </c>
      <c r="G21" s="6" t="n">
        <v>2</v>
      </c>
      <c r="H21" s="6" t="inlineStr">
        <is>
          <t>OBSERVED - confirm against BIM-core.xem</t>
        </is>
      </c>
      <c r="I21" s="6" t="inlineStr">
        <is>
          <t>Entity, Model</t>
        </is>
      </c>
      <c r="J21" s="6" t="inlineStr">
        <is>
          <t>Created (Entity); Created (Model)</t>
        </is>
      </c>
      <c r="K21" s="6">
        <f>COUNTIF('Value Reconciliation'!$C:$C,$A21)</f>
        <v/>
      </c>
      <c r="L21" s="6">
        <f>COUNTIFS('Value Reconciliation'!$C:$C,$A21,'Value Reconciliation'!$H:$H,"Applied*")</f>
        <v/>
      </c>
      <c r="M21" s="6">
        <f>COUNTIFS('Value Reconciliation'!$C:$C,$A21,'Value Reconciliation'!$I:$I,"Match")</f>
        <v/>
      </c>
      <c r="N21" s="6" t="inlineStr">
        <is>
          <t>Defined - no source values to migrate</t>
        </is>
      </c>
    </row>
    <row r="22">
      <c r="A22" s="6" t="inlineStr">
        <is>
          <t>EncryptionRequired</t>
        </is>
      </c>
      <c r="B22" s="6" t="inlineStr">
        <is>
          <t>List</t>
        </is>
      </c>
      <c r="C22" s="6" t="inlineStr"/>
      <c r="D22" s="6" t="inlineStr">
        <is>
          <t>true | false</t>
        </is>
      </c>
      <c r="E22" s="6" t="inlineStr">
        <is>
          <t>BIM-core.EncryptionRequired</t>
        </is>
      </c>
      <c r="F22" s="6" t="inlineStr">
        <is>
          <t>100%</t>
        </is>
      </c>
      <c r="G22" s="6" t="n">
        <v>1</v>
      </c>
      <c r="H22" s="6" t="inlineStr">
        <is>
          <t>OBSERVED - confirm against BIM-core.xem</t>
        </is>
      </c>
      <c r="I22" s="6" t="inlineStr">
        <is>
          <t>Entity, Model</t>
        </is>
      </c>
      <c r="J22" s="6" t="inlineStr">
        <is>
          <t>Created (Entity); Created (Model)</t>
        </is>
      </c>
      <c r="K22" s="6">
        <f>COUNTIF('Value Reconciliation'!$C:$C,$A22)</f>
        <v/>
      </c>
      <c r="L22" s="6">
        <f>COUNTIFS('Value Reconciliation'!$C:$C,$A22,'Value Reconciliation'!$H:$H,"Applied*")</f>
        <v/>
      </c>
      <c r="M22" s="6">
        <f>COUNTIFS('Value Reconciliation'!$C:$C,$A22,'Value Reconciliation'!$I:$I,"Match")</f>
        <v/>
      </c>
      <c r="N22" s="6" t="inlineStr">
        <is>
          <t>Defined - no source values to migrate</t>
        </is>
      </c>
    </row>
    <row r="23">
      <c r="A23" s="6" t="inlineStr">
        <is>
          <t>MaskingRequired</t>
        </is>
      </c>
      <c r="B23" s="6" t="inlineStr">
        <is>
          <t>List</t>
        </is>
      </c>
      <c r="C23" s="6" t="inlineStr"/>
      <c r="D23" s="6" t="inlineStr">
        <is>
          <t>true | false</t>
        </is>
      </c>
      <c r="E23" s="6" t="inlineStr">
        <is>
          <t>BIM-core.MaskingRequired</t>
        </is>
      </c>
      <c r="F23" s="6" t="inlineStr">
        <is>
          <t>100%</t>
        </is>
      </c>
      <c r="G23" s="6" t="n">
        <v>1</v>
      </c>
      <c r="H23" s="6" t="inlineStr">
        <is>
          <t>OBSERVED - confirm against BIM-core.xem</t>
        </is>
      </c>
      <c r="I23" s="6" t="inlineStr">
        <is>
          <t>Entity, Model</t>
        </is>
      </c>
      <c r="J23" s="6" t="inlineStr">
        <is>
          <t>Created (Entity); Created (Model)</t>
        </is>
      </c>
      <c r="K23" s="6">
        <f>COUNTIF('Value Reconciliation'!$C:$C,$A23)</f>
        <v/>
      </c>
      <c r="L23" s="6">
        <f>COUNTIFS('Value Reconciliation'!$C:$C,$A23,'Value Reconciliation'!$H:$H,"Applied*")</f>
        <v/>
      </c>
      <c r="M23" s="6">
        <f>COUNTIFS('Value Reconciliation'!$C:$C,$A23,'Value Reconciliation'!$I:$I,"Match")</f>
        <v/>
      </c>
      <c r="N23" s="6" t="inlineStr">
        <is>
          <t>Defined - no source values to migrate</t>
        </is>
      </c>
    </row>
    <row r="24">
      <c r="A24" s="6" t="inlineStr">
        <is>
          <t>BIM_core_PII</t>
        </is>
      </c>
      <c r="B24" s="6" t="inlineStr">
        <is>
          <t>List</t>
        </is>
      </c>
      <c r="C24" s="6" t="inlineStr"/>
      <c r="D24" s="6" t="inlineStr">
        <is>
          <t>true | false</t>
        </is>
      </c>
      <c r="E24" s="6" t="inlineStr">
        <is>
          <t>BIM-core.PII</t>
        </is>
      </c>
      <c r="F24" s="6" t="inlineStr">
        <is>
          <t>100%</t>
        </is>
      </c>
      <c r="G24" s="6" t="n">
        <v>1</v>
      </c>
      <c r="H24" s="6" t="inlineStr">
        <is>
          <t>OBSERVED - confirm against BIM-core.xem</t>
        </is>
      </c>
      <c r="I24" s="6" t="inlineStr">
        <is>
          <t>Entity, Model</t>
        </is>
      </c>
      <c r="J24" s="6" t="inlineStr">
        <is>
          <t>Created (Entity); Created (Model)</t>
        </is>
      </c>
      <c r="K24" s="6">
        <f>COUNTIF('Value Reconciliation'!$C:$C,$A24)</f>
        <v/>
      </c>
      <c r="L24" s="6">
        <f>COUNTIFS('Value Reconciliation'!$C:$C,$A24,'Value Reconciliation'!$H:$H,"Applied*")</f>
        <v/>
      </c>
      <c r="M24" s="6">
        <f>COUNTIFS('Value Reconciliation'!$C:$C,$A24,'Value Reconciliation'!$I:$I,"Match")</f>
        <v/>
      </c>
      <c r="N24" s="6" t="inlineStr">
        <is>
          <t>Defined - no source values to migrate</t>
        </is>
      </c>
    </row>
    <row r="25">
      <c r="A25" s="6" t="inlineStr">
        <is>
          <t>Attribute_1</t>
        </is>
      </c>
      <c r="B25" s="6" t="inlineStr">
        <is>
          <t>List</t>
        </is>
      </c>
      <c r="C25" s="6" t="inlineStr"/>
      <c r="D25" s="6" t="inlineStr">
        <is>
          <t>true | false</t>
        </is>
      </c>
      <c r="E25" s="6" t="inlineStr">
        <is>
          <t>Local Extensions.Attribute_1</t>
        </is>
      </c>
      <c r="F25" s="6" t="inlineStr">
        <is>
          <t>100%</t>
        </is>
      </c>
      <c r="G25" s="6" t="n">
        <v>1</v>
      </c>
      <c r="H25" s="6" t="inlineStr">
        <is>
          <t>OBSERVED - confirm against BIM-core.xem</t>
        </is>
      </c>
      <c r="I25" s="6" t="inlineStr">
        <is>
          <t>Entity, Model</t>
        </is>
      </c>
      <c r="J25" s="6" t="inlineStr">
        <is>
          <t>Created (Entity); Created (Model)</t>
        </is>
      </c>
      <c r="K25" s="6">
        <f>COUNTIF('Value Reconciliation'!$C:$C,$A25)</f>
        <v/>
      </c>
      <c r="L25" s="6">
        <f>COUNTIFS('Value Reconciliation'!$C:$C,$A25,'Value Reconciliation'!$H:$H,"Applied*")</f>
        <v/>
      </c>
      <c r="M25" s="6">
        <f>COUNTIFS('Value Reconciliation'!$C:$C,$A25,'Value Reconciliation'!$I:$I,"Match")</f>
        <v/>
      </c>
      <c r="N25" s="6" t="inlineStr">
        <is>
          <t>Defined - no source values to migrate</t>
        </is>
      </c>
    </row>
    <row r="26">
      <c r="A26" s="6" t="inlineStr">
        <is>
          <t>MTED_EDaM_Entity_Critical_Data</t>
        </is>
      </c>
      <c r="B26" s="6" t="inlineStr">
        <is>
          <t>List</t>
        </is>
      </c>
      <c r="C26" s="6" t="inlineStr"/>
      <c r="D26" s="6" t="inlineStr">
        <is>
          <t>L</t>
        </is>
      </c>
      <c r="E26" s="6" t="inlineStr">
        <is>
          <t>SHL_LDM_EntityPropertyExtension.MTED_EDaM_Entity_Critical_Data</t>
        </is>
      </c>
      <c r="F26" s="6" t="inlineStr">
        <is>
          <t>100%</t>
        </is>
      </c>
      <c r="G26" s="6" t="n">
        <v>1</v>
      </c>
      <c r="H26" s="6" t="inlineStr">
        <is>
          <t>OBSERVED - confirm against BIM-core.xem</t>
        </is>
      </c>
      <c r="I26" s="6" t="inlineStr">
        <is>
          <t>Entity, Model</t>
        </is>
      </c>
      <c r="J26" s="6" t="inlineStr">
        <is>
          <t>Created (Entity); Created (Model)</t>
        </is>
      </c>
      <c r="K26" s="6">
        <f>COUNTIF('Value Reconciliation'!$C:$C,$A26)</f>
        <v/>
      </c>
      <c r="L26" s="6">
        <f>COUNTIFS('Value Reconciliation'!$C:$C,$A26,'Value Reconciliation'!$H:$H,"Applied*")</f>
        <v/>
      </c>
      <c r="M26" s="6">
        <f>COUNTIFS('Value Reconciliation'!$C:$C,$A26,'Value Reconciliation'!$I:$I,"Match")</f>
        <v/>
      </c>
      <c r="N26" s="6" t="inlineStr">
        <is>
          <t>Defined as List - observed values only, confirm against BIM-core.xem</t>
        </is>
      </c>
    </row>
    <row r="27">
      <c r="A27" s="6" t="inlineStr">
        <is>
          <t>MTED_EDaM_Security_Classification</t>
        </is>
      </c>
      <c r="B27" s="6" t="inlineStr">
        <is>
          <t>List</t>
        </is>
      </c>
      <c r="C27" s="6" t="inlineStr"/>
      <c r="D27" s="6" t="inlineStr">
        <is>
          <t>Restricted</t>
        </is>
      </c>
      <c r="E27" s="6" t="inlineStr">
        <is>
          <t>SHL_LDM_EntityPropertyExtension.MTED_EDaM_Security_Classification</t>
        </is>
      </c>
      <c r="F27" s="6" t="inlineStr">
        <is>
          <t>100%</t>
        </is>
      </c>
      <c r="G27" s="6" t="n">
        <v>1</v>
      </c>
      <c r="H27" s="6" t="inlineStr">
        <is>
          <t>OBSERVED - confirm against BIM-core.xem</t>
        </is>
      </c>
      <c r="I27" s="6" t="inlineStr">
        <is>
          <t>Entity, Model</t>
        </is>
      </c>
      <c r="J27" s="6" t="inlineStr">
        <is>
          <t>Created (Entity); Created (Model)</t>
        </is>
      </c>
      <c r="K27" s="6">
        <f>COUNTIF('Value Reconciliation'!$C:$C,$A27)</f>
        <v/>
      </c>
      <c r="L27" s="6">
        <f>COUNTIFS('Value Reconciliation'!$C:$C,$A27,'Value Reconciliation'!$H:$H,"Applied*")</f>
        <v/>
      </c>
      <c r="M27" s="6">
        <f>COUNTIFS('Value Reconciliation'!$C:$C,$A27,'Value Reconciliation'!$I:$I,"Match")</f>
        <v/>
      </c>
      <c r="N27" s="6" t="inlineStr">
        <is>
          <t>Defined as List - observed values only, confirm against BIM-core.xem</t>
        </is>
      </c>
    </row>
    <row r="28">
      <c r="A28" s="6" t="inlineStr">
        <is>
          <t>MTED_EDaM_Design_Status</t>
        </is>
      </c>
      <c r="B28" s="6" t="inlineStr">
        <is>
          <t>List</t>
        </is>
      </c>
      <c r="C28" s="6" t="inlineStr"/>
      <c r="D28" s="6" t="inlineStr">
        <is>
          <t>Approved</t>
        </is>
      </c>
      <c r="E28" s="6" t="inlineStr">
        <is>
          <t>SHL_LDM_EntityPropertyExtension.MTED_EDaM_Design_Status</t>
        </is>
      </c>
      <c r="F28" s="6" t="inlineStr">
        <is>
          <t>100%</t>
        </is>
      </c>
      <c r="G28" s="6" t="n">
        <v>1</v>
      </c>
      <c r="H28" s="6" t="inlineStr">
        <is>
          <t>OBSERVED - confirm against BIM-core.xem</t>
        </is>
      </c>
      <c r="I28" s="6" t="inlineStr">
        <is>
          <t>Entity, Model</t>
        </is>
      </c>
      <c r="J28" s="6" t="inlineStr">
        <is>
          <t>Created (Entity); Created (Model)</t>
        </is>
      </c>
      <c r="K28" s="6">
        <f>COUNTIF('Value Reconciliation'!$C:$C,$A28)</f>
        <v/>
      </c>
      <c r="L28" s="6">
        <f>COUNTIFS('Value Reconciliation'!$C:$C,$A28,'Value Reconciliation'!$H:$H,"Applied*")</f>
        <v/>
      </c>
      <c r="M28" s="6">
        <f>COUNTIFS('Value Reconciliation'!$C:$C,$A28,'Value Reconciliation'!$I:$I,"Match")</f>
        <v/>
      </c>
      <c r="N28" s="6" t="inlineStr">
        <is>
          <t>Defined as List - observed values only, confirm against BIM-core.xem</t>
        </is>
      </c>
    </row>
    <row r="29">
      <c r="A29" s="6" t="inlineStr">
        <is>
          <t>MTED_EDaM_Entity_Data_Category</t>
        </is>
      </c>
      <c r="B29" s="6" t="inlineStr">
        <is>
          <t>List</t>
        </is>
      </c>
      <c r="C29" s="6" t="inlineStr"/>
      <c r="D29" s="6" t="inlineStr">
        <is>
          <t>Master | Reference</t>
        </is>
      </c>
      <c r="E29" s="6" t="inlineStr">
        <is>
          <t>SHL_LDM_EntityPropertyExtension.MTED_EDaM_Entity_Data_Category</t>
        </is>
      </c>
      <c r="F29" s="6" t="inlineStr">
        <is>
          <t>100%</t>
        </is>
      </c>
      <c r="G29" s="6" t="n">
        <v>2</v>
      </c>
      <c r="H29" s="6" t="inlineStr">
        <is>
          <t>OBSERVED - confirm against BIM-core.xem</t>
        </is>
      </c>
      <c r="I29" s="6" t="inlineStr">
        <is>
          <t>Entity, Model</t>
        </is>
      </c>
      <c r="J29" s="6" t="inlineStr">
        <is>
          <t>Created (Entity); Created (Model)</t>
        </is>
      </c>
      <c r="K29" s="6">
        <f>COUNTIF('Value Reconciliation'!$C:$C,$A29)</f>
        <v/>
      </c>
      <c r="L29" s="6">
        <f>COUNTIFS('Value Reconciliation'!$C:$C,$A29,'Value Reconciliation'!$H:$H,"Applied*")</f>
        <v/>
      </c>
      <c r="M29" s="6">
        <f>COUNTIFS('Value Reconciliation'!$C:$C,$A29,'Value Reconciliation'!$I:$I,"Match")</f>
        <v/>
      </c>
      <c r="N29" s="6" t="inlineStr">
        <is>
          <t>Defined as List - observed values only, confirm against BIM-core.xem</t>
        </is>
      </c>
    </row>
    <row r="30">
      <c r="A30" s="6" t="inlineStr">
        <is>
          <t>MTED_EDaM_Mapping_Level</t>
        </is>
      </c>
      <c r="B30" s="6" t="inlineStr">
        <is>
          <t>List</t>
        </is>
      </c>
      <c r="C30" s="6" t="inlineStr"/>
      <c r="D30" s="6" t="inlineStr">
        <is>
          <t>02 - Conceptual</t>
        </is>
      </c>
      <c r="E30" s="6" t="inlineStr">
        <is>
          <t>SHL_LDM_EntityPropertyExtension.MTED_EDaM_Mapping_Level</t>
        </is>
      </c>
      <c r="F30" s="6" t="inlineStr">
        <is>
          <t>100%</t>
        </is>
      </c>
      <c r="G30" s="6" t="n">
        <v>1</v>
      </c>
      <c r="H30" s="6" t="inlineStr">
        <is>
          <t>OBSERVED - confirm against BIM-core.xem</t>
        </is>
      </c>
      <c r="I30" s="6" t="inlineStr">
        <is>
          <t>Entity, Model</t>
        </is>
      </c>
      <c r="J30" s="6" t="inlineStr">
        <is>
          <t>Created (Entity); Created (Model)</t>
        </is>
      </c>
      <c r="K30" s="6">
        <f>COUNTIF('Value Reconciliation'!$C:$C,$A30)</f>
        <v/>
      </c>
      <c r="L30" s="6">
        <f>COUNTIFS('Value Reconciliation'!$C:$C,$A30,'Value Reconciliation'!$H:$H,"Applied*")</f>
        <v/>
      </c>
      <c r="M30" s="6">
        <f>COUNTIFS('Value Reconciliation'!$C:$C,$A30,'Value Reconciliation'!$I:$I,"Match")</f>
        <v/>
      </c>
      <c r="N30" s="6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F48" t="inlineStr">
        <is>
          <t>false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F65" t="inlineStr">
        <is>
          <t>false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F83" t="inlineStr">
        <is>
          <t>false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F100" t="inlineStr">
        <is>
          <t>false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F118" t="inlineStr">
        <is>
          <t>false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F136" t="inlineStr">
        <is>
          <t>false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F154" t="inlineStr">
        <is>
          <t>false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F172" t="inlineStr">
        <is>
          <t>false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F190" t="inlineStr">
        <is>
          <t>false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F207" t="inlineStr">
        <is>
          <t>false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F225" t="inlineStr">
        <is>
          <t>false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F243" t="inlineStr">
        <is>
          <t>false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F261" t="inlineStr">
        <is>
          <t>false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F278" t="inlineStr">
        <is>
          <t>false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F295" t="inlineStr">
        <is>
          <t>false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F312" t="inlineStr">
        <is>
          <t>false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F329" t="inlineStr">
        <is>
          <t>false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F346" t="inlineStr">
        <is>
          <t>false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F364" t="inlineStr">
        <is>
          <t>false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F381" t="inlineStr">
        <is>
          <t>false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F398" t="inlineStr">
        <is>
          <t>false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F415" t="inlineStr">
        <is>
          <t>false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F432" t="inlineStr">
        <is>
          <t>false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F449" t="inlineStr">
        <is>
          <t>false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F466" t="inlineStr">
        <is>
          <t>false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F483" t="inlineStr">
        <is>
          <t>false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F501" t="inlineStr">
        <is>
          <t>false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F522" t="inlineStr">
        <is>
          <t>false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F539" t="inlineStr">
        <is>
          <t>false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F556" t="inlineStr">
        <is>
          <t>false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F573" t="inlineStr">
        <is>
          <t>false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F594" t="inlineStr">
        <is>
          <t>false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F612" t="inlineStr">
        <is>
          <t>false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F630" t="inlineStr">
        <is>
          <t>false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F647" t="inlineStr">
        <is>
          <t>false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F665" t="inlineStr">
        <is>
          <t>false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F682" t="inlineStr">
        <is>
          <t>false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F699" t="inlineStr">
        <is>
          <t>false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F716" t="inlineStr">
        <is>
          <t>false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F733" t="inlineStr">
        <is>
          <t>false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F750" t="inlineStr">
        <is>
          <t>false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F768" t="inlineStr">
        <is>
          <t>false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F785" t="inlineStr">
        <is>
          <t>false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F816" t="inlineStr">
        <is>
          <t>false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Entity</t>
        </is>
      </c>
      <c r="H1338" t="inlineStr">
        <is>
          <t>Applied - Verified</t>
        </is>
      </c>
      <c r="I1338" t="inlineStr">
        <is>
          <t>Match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Entity</t>
        </is>
      </c>
      <c r="H1369" t="inlineStr">
        <is>
          <t>Applied - Verified</t>
        </is>
      </c>
      <c r="I1369" t="inlineStr">
        <is>
          <t>Match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Entity</t>
        </is>
      </c>
      <c r="H1400" t="inlineStr">
        <is>
          <t>Applied - Verified</t>
        </is>
      </c>
      <c r="I1400" t="inlineStr">
        <is>
          <t>Match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Entity</t>
        </is>
      </c>
      <c r="H1417" t="inlineStr">
        <is>
          <t>Applied - Verified</t>
        </is>
      </c>
      <c r="I1417" t="inlineStr">
        <is>
          <t>Match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Entity</t>
        </is>
      </c>
      <c r="H1452" t="inlineStr">
        <is>
          <t>Applied - Verified</t>
        </is>
      </c>
      <c r="I1452" t="inlineStr">
        <is>
          <t>Match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Entity</t>
        </is>
      </c>
      <c r="H1525" t="inlineStr">
        <is>
          <t>Applied - Verified</t>
        </is>
      </c>
      <c r="I1525" t="inlineStr">
        <is>
          <t>Match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Low</t>
        </is>
      </c>
      <c r="B2" s="6" t="inlineStr">
        <is>
          <t>Empty source value</t>
        </is>
      </c>
      <c r="C2" s="6" t="inlineStr">
        <is>
          <t>ACTIVITY_CATEGORY_PARAMETER</t>
        </is>
      </c>
      <c r="D2" s="6" t="inlineStr">
        <is>
          <t>DataArea</t>
        </is>
      </c>
      <c r="E2" s="6" t="inlineStr">
        <is>
          <t>The property exists on the source entity but holds no value.</t>
        </is>
      </c>
      <c r="F2" s="6" t="inlineStr">
        <is>
          <t>No action if the property is genuinely blank in PowerDesigner.</t>
        </is>
      </c>
    </row>
    <row r="3">
      <c r="A3" s="6" t="inlineStr">
        <is>
          <t>Low</t>
        </is>
      </c>
      <c r="B3" s="6" t="inlineStr">
        <is>
          <t>Empty source value</t>
        </is>
      </c>
      <c r="C3" s="6" t="inlineStr">
        <is>
          <t>ACTIVITY_CATEGORY_TYPE</t>
        </is>
      </c>
      <c r="D3" s="6" t="inlineStr">
        <is>
          <t>DataArea</t>
        </is>
      </c>
      <c r="E3" s="6" t="inlineStr">
        <is>
          <t>The property exists on the source entity but holds no value.</t>
        </is>
      </c>
      <c r="F3" s="6" t="inlineStr">
        <is>
          <t>No action if the property is genuinely blank in PowerDesigner.</t>
        </is>
      </c>
    </row>
    <row r="4">
      <c r="A4" s="6" t="inlineStr">
        <is>
          <t>Low</t>
        </is>
      </c>
      <c r="B4" s="6" t="inlineStr">
        <is>
          <t>Empty source value</t>
        </is>
      </c>
      <c r="C4" s="6" t="inlineStr">
        <is>
          <t>ACTIVITY_TYPE_PARAMETER</t>
        </is>
      </c>
      <c r="D4" s="6" t="inlineStr">
        <is>
          <t>DataArea</t>
        </is>
      </c>
      <c r="E4" s="6" t="inlineStr">
        <is>
          <t>The property exists on the source entity but holds no value.</t>
        </is>
      </c>
      <c r="F4" s="6" t="inlineStr">
        <is>
          <t>No action if the property is genuinely blank in PowerDesigner.</t>
        </is>
      </c>
    </row>
    <row r="5">
      <c r="A5" s="6" t="inlineStr">
        <is>
          <t>Low</t>
        </is>
      </c>
      <c r="B5" s="6" t="inlineStr">
        <is>
          <t>Empty source value</t>
        </is>
      </c>
      <c r="C5" s="6" t="inlineStr">
        <is>
          <t>ACTIVITY_TYPE_PARAMETER_FACTOR</t>
        </is>
      </c>
      <c r="D5" s="6" t="inlineStr">
        <is>
          <t>DataArea</t>
        </is>
      </c>
      <c r="E5" s="6" t="inlineStr">
        <is>
          <t>The property exists on the source entity but holds no value.</t>
        </is>
      </c>
      <c r="F5" s="6" t="inlineStr">
        <is>
          <t>No action if the property is genuinely blank in PowerDesigner.</t>
        </is>
      </c>
    </row>
    <row r="6">
      <c r="A6" s="6" t="inlineStr">
        <is>
          <t>Low</t>
        </is>
      </c>
      <c r="B6" s="6" t="inlineStr">
        <is>
          <t>Empty source value</t>
        </is>
      </c>
      <c r="C6" s="6" t="inlineStr">
        <is>
          <t>DIMENSION</t>
        </is>
      </c>
      <c r="D6" s="6" t="inlineStr">
        <is>
          <t>DataArea</t>
        </is>
      </c>
      <c r="E6" s="6" t="inlineStr">
        <is>
          <t>The property exists on the source entity but holds no value.</t>
        </is>
      </c>
      <c r="F6" s="6" t="inlineStr">
        <is>
          <t>No action if the property is genuinely blank in PowerDesigner.</t>
        </is>
      </c>
    </row>
    <row r="7">
      <c r="A7" s="6" t="inlineStr">
        <is>
          <t>Low</t>
        </is>
      </c>
      <c r="B7" s="6" t="inlineStr">
        <is>
          <t>Empty source value</t>
        </is>
      </c>
      <c r="C7" s="6" t="inlineStr">
        <is>
          <t>FUEL_PRODUCT</t>
        </is>
      </c>
      <c r="D7" s="6" t="inlineStr">
        <is>
          <t>DataArea</t>
        </is>
      </c>
      <c r="E7" s="6" t="inlineStr">
        <is>
          <t>The property exists on the source entity but holds no value.</t>
        </is>
      </c>
      <c r="F7" s="6" t="inlineStr">
        <is>
          <t>No action if the property is genuinely blank in PowerDesigner.</t>
        </is>
      </c>
    </row>
    <row r="8">
      <c r="A8" s="6" t="inlineStr">
        <is>
          <t>Low</t>
        </is>
      </c>
      <c r="B8" s="6" t="inlineStr">
        <is>
          <t>Empty source value</t>
        </is>
      </c>
      <c r="C8" s="6" t="inlineStr">
        <is>
          <t>PRODUCT</t>
        </is>
      </c>
      <c r="D8" s="6" t="inlineStr">
        <is>
          <t>DataArea</t>
        </is>
      </c>
      <c r="E8" s="6" t="inlineStr">
        <is>
          <t>The property exists on the source entity but holds no value.</t>
        </is>
      </c>
      <c r="F8" s="6" t="inlineStr">
        <is>
          <t>No action if the property is genuinely blank in PowerDesigner.</t>
        </is>
      </c>
    </row>
    <row r="9">
      <c r="A9" s="6" t="inlineStr">
        <is>
          <t>Low</t>
        </is>
      </c>
      <c r="B9" s="6" t="inlineStr">
        <is>
          <t>Empty source value</t>
        </is>
      </c>
      <c r="C9" s="6" t="inlineStr">
        <is>
          <t>PRODUCT_EMISSION_COMPONENT</t>
        </is>
      </c>
      <c r="D9" s="6" t="inlineStr">
        <is>
          <t>DataArea</t>
        </is>
      </c>
      <c r="E9" s="6" t="inlineStr">
        <is>
          <t>The property exists on the source entity but holds no value.</t>
        </is>
      </c>
      <c r="F9" s="6" t="inlineStr">
        <is>
          <t>No action if the property is genuinely blank in PowerDesigner.</t>
        </is>
      </c>
    </row>
    <row r="10">
      <c r="A10" s="6" t="inlineStr">
        <is>
          <t>Low</t>
        </is>
      </c>
      <c r="B10" s="6" t="inlineStr">
        <is>
          <t>Empty source value</t>
        </is>
      </c>
      <c r="C10" s="6" t="inlineStr">
        <is>
          <t>PRODUCT_PROPERTY_VALUE</t>
        </is>
      </c>
      <c r="D10" s="6" t="inlineStr">
        <is>
          <t>DataArea</t>
        </is>
      </c>
      <c r="E10" s="6" t="inlineStr">
        <is>
          <t>The property exists on the source entity but holds no value.</t>
        </is>
      </c>
      <c r="F10" s="6" t="inlineStr">
        <is>
          <t>No action if the property is genuinely blank in PowerDesigner.</t>
        </is>
      </c>
    </row>
    <row r="11">
      <c r="A11" s="6" t="inlineStr">
        <is>
          <t>Low</t>
        </is>
      </c>
      <c r="B11" s="6" t="inlineStr">
        <is>
          <t>Empty source value</t>
        </is>
      </c>
      <c r="C11" s="6" t="inlineStr">
        <is>
          <t>PROPERTY_TYPE</t>
        </is>
      </c>
      <c r="D11" s="6" t="inlineStr">
        <is>
          <t>DataArea</t>
        </is>
      </c>
      <c r="E11" s="6" t="inlineStr">
        <is>
          <t>The property exists on the source entity but holds no value.</t>
        </is>
      </c>
      <c r="F11" s="6" t="inlineStr">
        <is>
          <t>No action if the property is genuinely blank in PowerDesigner.</t>
        </is>
      </c>
    </row>
    <row r="12">
      <c r="A12" s="6" t="inlineStr">
        <is>
          <t>Low</t>
        </is>
      </c>
      <c r="B12" s="6" t="inlineStr">
        <is>
          <t>Inferred value list</t>
        </is>
      </c>
      <c r="C12" s="6" t="n"/>
      <c r="D12" s="6" t="inlineStr">
        <is>
          <t>DesignStatus</t>
        </is>
      </c>
      <c r="E12" s="6" t="inlineStr">
        <is>
          <t>The permitted values were inferred from observed data, not from BIM-core.xem. Observed is not the same as permitted.</t>
        </is>
      </c>
      <c r="F12" s="6" t="inlineStr">
        <is>
          <t>Confirm the list against BIM-core.xem before sign-off.</t>
        </is>
      </c>
    </row>
    <row r="13">
      <c r="A13" s="6" t="inlineStr">
        <is>
          <t>Low</t>
        </is>
      </c>
      <c r="B13" s="6" t="inlineStr">
        <is>
          <t>Inferred value list</t>
        </is>
      </c>
      <c r="C13" s="6" t="n"/>
      <c r="D13" s="6" t="inlineStr">
        <is>
          <t>DataCategory</t>
        </is>
      </c>
      <c r="E13" s="6" t="inlineStr">
        <is>
          <t>The permitted values were inferred from observed data, not from BIM-core.xem. Observed is not the same as permitted.</t>
        </is>
      </c>
      <c r="F13" s="6" t="inlineStr">
        <is>
          <t>Confirm the list against BIM-core.xem before sign-off.</t>
        </is>
      </c>
    </row>
    <row r="14">
      <c r="A14" s="6" t="inlineStr">
        <is>
          <t>Low</t>
        </is>
      </c>
      <c r="B14" s="6" t="inlineStr">
        <is>
          <t>Inferred value list</t>
        </is>
      </c>
      <c r="C14" s="6" t="n"/>
      <c r="D14" s="6" t="inlineStr">
        <is>
          <t>EntityCategory</t>
        </is>
      </c>
      <c r="E14" s="6" t="inlineStr">
        <is>
          <t>The permitted values were inferred from observed data, not from BIM-core.xem. Observed is not the same as permitted.</t>
        </is>
      </c>
      <c r="F14" s="6" t="inlineStr">
        <is>
          <t>Confirm the list against BIM-core.xem before sign-off.</t>
        </is>
      </c>
    </row>
    <row r="15">
      <c r="A15" s="6" t="inlineStr">
        <is>
          <t>Low</t>
        </is>
      </c>
      <c r="B15" s="6" t="inlineStr">
        <is>
          <t>Inferred value list</t>
        </is>
      </c>
      <c r="C15" s="6" t="n"/>
      <c r="D15" s="6" t="inlineStr">
        <is>
          <t>Criticality</t>
        </is>
      </c>
      <c r="E15" s="6" t="inlineStr">
        <is>
          <t>The permitted values were inferred from observed data, not from BIM-core.xem. Observed is not the same as permitted.</t>
        </is>
      </c>
      <c r="F15" s="6" t="inlineStr">
        <is>
          <t>Confirm the list against BIM-core.xem before sign-off.</t>
        </is>
      </c>
    </row>
    <row r="16">
      <c r="A16" s="6" t="inlineStr">
        <is>
          <t>Low</t>
        </is>
      </c>
      <c r="B16" s="6" t="inlineStr">
        <is>
          <t>Inferred value list</t>
        </is>
      </c>
      <c r="C16" s="6" t="n"/>
      <c r="D16" s="6" t="inlineStr">
        <is>
          <t>CommerciallySensitiveInformation</t>
        </is>
      </c>
      <c r="E16" s="6" t="inlineStr">
        <is>
          <t>The permitted values were inferred from observed data, not from BIM-core.xem. Observed is not the same as permitted.</t>
        </is>
      </c>
      <c r="F16" s="6" t="inlineStr">
        <is>
          <t>Confirm the list against BIM-core.xem before sign-off.</t>
        </is>
      </c>
    </row>
    <row r="17">
      <c r="A17" s="6" t="inlineStr">
        <is>
          <t>Low</t>
        </is>
      </c>
      <c r="B17" s="6" t="inlineStr">
        <is>
          <t>Inferred value list</t>
        </is>
      </c>
      <c r="C17" s="6" t="n"/>
      <c r="D17" s="6" t="inlineStr">
        <is>
          <t>DataConfidentiality</t>
        </is>
      </c>
      <c r="E17" s="6" t="inlineStr">
        <is>
          <t>The permitted values were inferred from observed data, not from BIM-core.xem. Observed is not the same as permitted.</t>
        </is>
      </c>
      <c r="F17" s="6" t="inlineStr">
        <is>
          <t>Confirm the list against BIM-core.xem before sign-off.</t>
        </is>
      </c>
    </row>
    <row r="18">
      <c r="A18" s="6" t="inlineStr">
        <is>
          <t>Low</t>
        </is>
      </c>
      <c r="B18" s="6" t="inlineStr">
        <is>
          <t>Inferred value list</t>
        </is>
      </c>
      <c r="C18" s="6" t="n"/>
      <c r="D18" s="6" t="inlineStr">
        <is>
          <t>EntityPersonalData</t>
        </is>
      </c>
      <c r="E18" s="6" t="inlineStr">
        <is>
          <t>The permitted values were inferred from observed data, not from BIM-core.xem. Observed is not the same as permitted.</t>
        </is>
      </c>
      <c r="F18" s="6" t="inlineStr">
        <is>
          <t>Confirm the list against BIM-core.xem before sign-off.</t>
        </is>
      </c>
    </row>
    <row r="19">
      <c r="A19" s="6" t="inlineStr">
        <is>
          <t>Low</t>
        </is>
      </c>
      <c r="B19" s="6" t="inlineStr">
        <is>
          <t>Inferred value list</t>
        </is>
      </c>
      <c r="C19" s="6" t="n"/>
      <c r="D19" s="6" t="inlineStr">
        <is>
          <t>FinancialPersonalData</t>
        </is>
      </c>
      <c r="E19" s="6" t="inlineStr">
        <is>
          <t>The permitted values were inferred from observed data, not from BIM-core.xem. Observed is not the same as permitted.</t>
        </is>
      </c>
      <c r="F19" s="6" t="inlineStr">
        <is>
          <t>Confirm the list against BIM-core.xem before sign-off.</t>
        </is>
      </c>
    </row>
    <row r="20">
      <c r="A20" s="6" t="inlineStr">
        <is>
          <t>Low</t>
        </is>
      </c>
      <c r="B20" s="6" t="inlineStr">
        <is>
          <t>Inferred value list</t>
        </is>
      </c>
      <c r="C20" s="6" t="n"/>
      <c r="D20" s="6" t="inlineStr">
        <is>
          <t>SensitivePersonalData</t>
        </is>
      </c>
      <c r="E20" s="6" t="inlineStr">
        <is>
          <t>The permitted values were inferred from observed data, not from BIM-core.xem. Observed is not the same as permitted.</t>
        </is>
      </c>
      <c r="F20" s="6" t="inlineStr">
        <is>
          <t>Confirm the list against BIM-core.xem before sign-off.</t>
        </is>
      </c>
    </row>
    <row r="21">
      <c r="A21" s="6" t="inlineStr">
        <is>
          <t>Low</t>
        </is>
      </c>
      <c r="B21" s="6" t="inlineStr">
        <is>
          <t>Inferred value list</t>
        </is>
      </c>
      <c r="C21" s="6" t="n"/>
      <c r="D21" s="6" t="inlineStr">
        <is>
          <t>MTED_EDaM_Mapping_Note</t>
        </is>
      </c>
      <c r="E21" s="6" t="inlineStr">
        <is>
          <t>The permitted values were inferred from observed data, not from BIM-core.xem. Observed is not the same as permitted.</t>
        </is>
      </c>
      <c r="F21" s="6" t="inlineStr">
        <is>
          <t>Confirm the list against BIM-core.xem before sign-off.</t>
        </is>
      </c>
    </row>
    <row r="22">
      <c r="A22" s="6" t="inlineStr">
        <is>
          <t>Low</t>
        </is>
      </c>
      <c r="B22" s="6" t="inlineStr">
        <is>
          <t>Inferred value list</t>
        </is>
      </c>
      <c r="C22" s="6" t="n"/>
      <c r="D22" s="6" t="inlineStr">
        <is>
          <t>MappingLevel</t>
        </is>
      </c>
      <c r="E22" s="6" t="inlineStr">
        <is>
          <t>The permitted values were inferred from observed data, not from BIM-core.xem. Observed is not the same as permitted.</t>
        </is>
      </c>
      <c r="F22" s="6" t="inlineStr">
        <is>
          <t>Confirm the list against BIM-core.xem before sign-off.</t>
        </is>
      </c>
    </row>
    <row r="23">
      <c r="A23" s="6" t="inlineStr">
        <is>
          <t>Low</t>
        </is>
      </c>
      <c r="B23" s="6" t="inlineStr">
        <is>
          <t>Inferred value list</t>
        </is>
      </c>
      <c r="C23" s="6" t="n"/>
      <c r="D23" s="6" t="inlineStr">
        <is>
          <t>CSI</t>
        </is>
      </c>
      <c r="E23" s="6" t="inlineStr">
        <is>
          <t>The permitted values were inferred from observed data, not from BIM-core.xem. Observed is not the same as permitted.</t>
        </is>
      </c>
      <c r="F23" s="6" t="inlineStr">
        <is>
          <t>Confirm the list against BIM-core.xem before sign-off.</t>
        </is>
      </c>
    </row>
    <row r="24">
      <c r="A24" s="6" t="inlineStr">
        <is>
          <t>Low</t>
        </is>
      </c>
      <c r="B24" s="6" t="inlineStr">
        <is>
          <t>Inferred value list</t>
        </is>
      </c>
      <c r="C24" s="6" t="n"/>
      <c r="D24" s="6" t="inlineStr">
        <is>
          <t>MTED_Encryption_Required</t>
        </is>
      </c>
      <c r="E24" s="6" t="inlineStr">
        <is>
          <t>The permitted values were inferred from observed data, not from BIM-core.xem. Observed is not the same as permitted.</t>
        </is>
      </c>
      <c r="F24" s="6" t="inlineStr">
        <is>
          <t>Confirm the list against BIM-core.xem before sign-off.</t>
        </is>
      </c>
    </row>
    <row r="25">
      <c r="A25" s="6" t="inlineStr">
        <is>
          <t>Low</t>
        </is>
      </c>
      <c r="B25" s="6" t="inlineStr">
        <is>
          <t>Inferred value list</t>
        </is>
      </c>
      <c r="C25" s="6" t="n"/>
      <c r="D25" s="6" t="inlineStr">
        <is>
          <t>PII</t>
        </is>
      </c>
      <c r="E25" s="6" t="inlineStr">
        <is>
          <t>The permitted values were inferred from observed data, not from BIM-core.xem. Observed is not the same as permitted.</t>
        </is>
      </c>
      <c r="F25" s="6" t="inlineStr">
        <is>
          <t>Confirm the list against BIM-core.xem before sign-off.</t>
        </is>
      </c>
    </row>
    <row r="26">
      <c r="A26" s="6" t="inlineStr">
        <is>
          <t>Low</t>
        </is>
      </c>
      <c r="B26" s="6" t="inlineStr">
        <is>
          <t>Inferred value list</t>
        </is>
      </c>
      <c r="C26" s="6" t="n"/>
      <c r="D26" s="6" t="inlineStr">
        <is>
          <t>DataArea</t>
        </is>
      </c>
      <c r="E26" s="6" t="inlineStr">
        <is>
          <t>The permitted values were inferred from observed data, not from BIM-core.xem. Observed is not the same as permitted.</t>
        </is>
      </c>
      <c r="F26" s="6" t="inlineStr">
        <is>
          <t>Confirm the list against BIM-core.xem before sign-off.</t>
        </is>
      </c>
    </row>
    <row r="27">
      <c r="A27" s="6" t="inlineStr">
        <is>
          <t>Low</t>
        </is>
      </c>
      <c r="B27" s="6" t="inlineStr">
        <is>
          <t>Inferred value list</t>
        </is>
      </c>
      <c r="C27" s="6" t="n"/>
      <c r="D27" s="6" t="inlineStr">
        <is>
          <t>BIM_core_CSI</t>
        </is>
      </c>
      <c r="E27" s="6" t="inlineStr">
        <is>
          <t>The permitted values were inferred from observed data, not from BIM-core.xem. Observed is not the same as permitted.</t>
        </is>
      </c>
      <c r="F27" s="6" t="inlineStr">
        <is>
          <t>Confirm the list against BIM-core.xem before sign-off.</t>
        </is>
      </c>
    </row>
    <row r="28">
      <c r="A28" s="6" t="inlineStr">
        <is>
          <t>Low</t>
        </is>
      </c>
      <c r="B28" s="6" t="inlineStr">
        <is>
          <t>Inferred value list</t>
        </is>
      </c>
      <c r="C28" s="6" t="n"/>
      <c r="D28" s="6" t="inlineStr">
        <is>
          <t>EncryptionRequired</t>
        </is>
      </c>
      <c r="E28" s="6" t="inlineStr">
        <is>
          <t>The permitted values were inferred from observed data, not from BIM-core.xem. Observed is not the same as permitted.</t>
        </is>
      </c>
      <c r="F28" s="6" t="inlineStr">
        <is>
          <t>Confirm the list against BIM-core.xem before sign-off.</t>
        </is>
      </c>
    </row>
    <row r="29">
      <c r="A29" s="6" t="inlineStr">
        <is>
          <t>Low</t>
        </is>
      </c>
      <c r="B29" s="6" t="inlineStr">
        <is>
          <t>Inferred value list</t>
        </is>
      </c>
      <c r="C29" s="6" t="n"/>
      <c r="D29" s="6" t="inlineStr">
        <is>
          <t>MaskingRequired</t>
        </is>
      </c>
      <c r="E29" s="6" t="inlineStr">
        <is>
          <t>The permitted values were inferred from observed data, not from BIM-core.xem. Observed is not the same as permitted.</t>
        </is>
      </c>
      <c r="F29" s="6" t="inlineStr">
        <is>
          <t>Confirm the list against BIM-core.xem before sign-off.</t>
        </is>
      </c>
    </row>
    <row r="30">
      <c r="A30" s="6" t="inlineStr">
        <is>
          <t>Low</t>
        </is>
      </c>
      <c r="B30" s="6" t="inlineStr">
        <is>
          <t>Inferred value list</t>
        </is>
      </c>
      <c r="C30" s="6" t="n"/>
      <c r="D30" s="6" t="inlineStr">
        <is>
          <t>BIM_core_PII</t>
        </is>
      </c>
      <c r="E30" s="6" t="inlineStr">
        <is>
          <t>The permitted values were inferred from observed data, not from BIM-core.xem. Observed is not the same as permitted.</t>
        </is>
      </c>
      <c r="F30" s="6" t="inlineStr">
        <is>
          <t>Confirm the list against BIM-core.xem before sign-off.</t>
        </is>
      </c>
    </row>
    <row r="31">
      <c r="A31" s="6" t="inlineStr">
        <is>
          <t>Low</t>
        </is>
      </c>
      <c r="B31" s="6" t="inlineStr">
        <is>
          <t>Inferred value list</t>
        </is>
      </c>
      <c r="C31" s="6" t="n"/>
      <c r="D31" s="6" t="inlineStr">
        <is>
          <t>Attribute_1</t>
        </is>
      </c>
      <c r="E31" s="6" t="inlineStr">
        <is>
          <t>The permitted values were inferred from observed data, not from BIM-core.xem. Observed is not the same as permitted.</t>
        </is>
      </c>
      <c r="F31" s="6" t="inlineStr">
        <is>
          <t>Confirm the list against BIM-core.xem before sign-off.</t>
        </is>
      </c>
    </row>
    <row r="32">
      <c r="A32" s="6" t="inlineStr">
        <is>
          <t>Low</t>
        </is>
      </c>
      <c r="B32" s="6" t="inlineStr">
        <is>
          <t>Inferred value list</t>
        </is>
      </c>
      <c r="C32" s="6" t="n"/>
      <c r="D32" s="6" t="inlineStr">
        <is>
          <t>MTED_EDaM_Entity_Critical_Data</t>
        </is>
      </c>
      <c r="E32" s="6" t="inlineStr">
        <is>
          <t>The permitted values were inferred from observed data, not from BIM-core.xem. Observed is not the same as permitted.</t>
        </is>
      </c>
      <c r="F32" s="6" t="inlineStr">
        <is>
          <t>Confirm the list against BIM-core.xem before sign-off.</t>
        </is>
      </c>
    </row>
    <row r="33">
      <c r="A33" s="6" t="inlineStr">
        <is>
          <t>Low</t>
        </is>
      </c>
      <c r="B33" s="6" t="inlineStr">
        <is>
          <t>Inferred value list</t>
        </is>
      </c>
      <c r="C33" s="6" t="n"/>
      <c r="D33" s="6" t="inlineStr">
        <is>
          <t>MTED_EDaM_Security_Classification</t>
        </is>
      </c>
      <c r="E33" s="6" t="inlineStr">
        <is>
          <t>The permitted values were inferred from observed data, not from BIM-core.xem. Observed is not the same as permitted.</t>
        </is>
      </c>
      <c r="F33" s="6" t="inlineStr">
        <is>
          <t>Confirm the list against BIM-core.xem before sign-off.</t>
        </is>
      </c>
    </row>
    <row r="34">
      <c r="A34" s="6" t="inlineStr">
        <is>
          <t>Low</t>
        </is>
      </c>
      <c r="B34" s="6" t="inlineStr">
        <is>
          <t>Inferred value list</t>
        </is>
      </c>
      <c r="C34" s="6" t="n"/>
      <c r="D34" s="6" t="inlineStr">
        <is>
          <t>MTED_EDaM_Design_Status</t>
        </is>
      </c>
      <c r="E34" s="6" t="inlineStr">
        <is>
          <t>The permitted values were inferred from observed data, not from BIM-core.xem. Observed is not the same as permitted.</t>
        </is>
      </c>
      <c r="F34" s="6" t="inlineStr">
        <is>
          <t>Confirm the list against BIM-core.xem before sign-off.</t>
        </is>
      </c>
    </row>
    <row r="35">
      <c r="A35" s="6" t="inlineStr">
        <is>
          <t>Low</t>
        </is>
      </c>
      <c r="B35" s="6" t="inlineStr">
        <is>
          <t>Inferred value list</t>
        </is>
      </c>
      <c r="C35" s="6" t="n"/>
      <c r="D35" s="6" t="inlineStr">
        <is>
          <t>MTED_EDaM_Entity_Data_Category</t>
        </is>
      </c>
      <c r="E35" s="6" t="inlineStr">
        <is>
          <t>The permitted values were inferred from observed data, not from BIM-core.xem. Observed is not the same as permitted.</t>
        </is>
      </c>
      <c r="F35" s="6" t="inlineStr">
        <is>
          <t>Confirm the list against BIM-core.xem before sign-off.</t>
        </is>
      </c>
    </row>
    <row r="36">
      <c r="A36" s="6" t="inlineStr">
        <is>
          <t>Low</t>
        </is>
      </c>
      <c r="B36" s="6" t="inlineStr">
        <is>
          <t>Inferred value list</t>
        </is>
      </c>
      <c r="C36" s="6" t="n"/>
      <c r="D36" s="6" t="inlineStr">
        <is>
          <t>MTED_EDaM_Mapping_Level</t>
        </is>
      </c>
      <c r="E36" s="6" t="inlineStr">
        <is>
          <t>The permitted values were inferred from observed data, not from BIM-core.xem. Observed is not the same as permitted.</t>
        </is>
      </c>
      <c r="F36" s="6" t="inlineStr">
        <is>
          <t>Confirm the list against BIM-core.xem before sign-off.</t>
        </is>
      </c>
    </row>
    <row r="37">
      <c r="A37" s="6" t="inlineStr">
        <is>
          <t>Informational</t>
        </is>
      </c>
      <c r="B37" s="6" t="inlineStr">
        <is>
          <t>Not carried by the erwin bridge</t>
        </is>
      </c>
      <c r="C37" s="6" t="n"/>
      <c r="D37" s="6" t="inlineStr">
        <is>
          <t>Glossary term bindings (UseTerm)</t>
        </is>
      </c>
      <c r="E37" s="6" t="inlineStr">
        <is>
          <t>2 term shortcuts - NOT delivered - external .glm has no erwin equivalent</t>
        </is>
      </c>
      <c r="F37" s="6" t="inlineStr">
        <is>
          <t>NOT RECOVERABLE as-is. SOW covers under 'naming standards, macros, templates - not automatically migrated'. Re-establish in erwin Naming Standards or relocate to Collibra.</t>
        </is>
      </c>
    </row>
    <row r="38">
      <c r="A38" s="6" t="inlineStr">
        <is>
          <t>Informational</t>
        </is>
      </c>
      <c r="B38" s="6" t="inlineStr">
        <is>
          <t>Not carried by the erwin bridge</t>
        </is>
      </c>
      <c r="C38" s="6" t="n"/>
      <c r="D38" s="6" t="inlineStr">
        <is>
          <t>GTL templates (relationship assertion, FK naming)</t>
        </is>
      </c>
      <c r="E38" s="6" t="inlineStr">
        <is>
          <t>0 - NOT delivered</t>
        </is>
      </c>
      <c r="F38" s="6" t="inlineStr">
        <is>
          <t>NOT RECOVERABLE. SOW covers under 'model macros - manual rewrite required'.</t>
        </is>
      </c>
    </row>
    <row r="39">
      <c r="A39" s="6" t="inlineStr">
        <is>
          <t>Informational</t>
        </is>
      </c>
      <c r="B39" s="6" t="inlineStr">
        <is>
          <t>Not carried by the erwin bridge</t>
        </is>
      </c>
      <c r="C39" s="6" t="n"/>
      <c r="D39" s="6" t="inlineStr">
        <is>
          <t>Repository version history / branch</t>
        </is>
      </c>
      <c r="E39" s="6" t="inlineStr">
        <is>
          <t>extraction n/a - NOT delivered - point-in-time extract only</t>
        </is>
      </c>
      <c r="F39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2026-09-03T05:20:47Z</dcterms:created>
  <dcterms:modified xmlns:dcterms="http://purl.org/dc/terms/" xmlns:xsi="http://www.w3.org/2001/XMLSchema-instance" xsi:type="dcterms:W3CDTF">2026-09-03T05:20:47Z</dcterms:modified>
</cp:coreProperties>
</file>